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user\Downloads\"/>
    </mc:Choice>
  </mc:AlternateContent>
  <xr:revisionPtr revIDLastSave="0" documentId="13_ncr:1_{D23176CE-B250-478B-B126-D38225D9D958}" xr6:coauthVersionLast="47" xr6:coauthVersionMax="47" xr10:uidLastSave="{00000000-0000-0000-0000-000000000000}"/>
  <bookViews>
    <workbookView xWindow="-120" yWindow="-120" windowWidth="20730" windowHeight="11040" tabRatio="827" xr2:uid="{00000000-000D-0000-FFFF-FFFF00000000}"/>
  </bookViews>
  <sheets>
    <sheet name="Database" sheetId="1" r:id="rId1"/>
    <sheet name="Assumptions" sheetId="2" r:id="rId2"/>
    <sheet name="Monthly Summary" sheetId="4" r:id="rId3"/>
    <sheet name="Sheet1" sheetId="7" state="hidden" r:id="rId4"/>
    <sheet name="Projections" sheetId="5" r:id="rId5"/>
    <sheet name="Event Dashboard" sheetId="6" r:id="rId6"/>
    <sheet name="Updated Event Dashboard" sheetId="10" r:id="rId7"/>
  </sheets>
  <definedNames>
    <definedName name="_xlnm._FilterDatabase" localSheetId="0" hidden="1">Database!$A$1:$H$101</definedName>
    <definedName name="NativeTimeline_Registration_Date">#N/A</definedName>
    <definedName name="Slicer_Attendance_Type">#N/A</definedName>
    <definedName name="Slicer_Session_Preference">#N/A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p/lTEf6R25G71rYCdVpbL8ieWXC8BYRzH/GOFNT4iHo="/>
    </ext>
  </extLst>
</workbook>
</file>

<file path=xl/calcChain.xml><?xml version="1.0" encoding="utf-8"?>
<calcChain xmlns="http://schemas.openxmlformats.org/spreadsheetml/2006/main">
  <c r="H14" i="10" l="1"/>
  <c r="H13" i="10"/>
  <c r="H12" i="10"/>
  <c r="H9" i="10"/>
  <c r="H8" i="10"/>
  <c r="H7" i="10"/>
  <c r="E9" i="10"/>
  <c r="E8" i="10"/>
  <c r="E7" i="10"/>
  <c r="E6" i="10"/>
  <c r="B6" i="10"/>
  <c r="B7" i="10"/>
  <c r="B9" i="10" s="1"/>
  <c r="B8" i="10"/>
  <c r="J17" i="5"/>
  <c r="J16" i="5"/>
  <c r="J18" i="5" s="1"/>
  <c r="J21" i="5"/>
  <c r="I21" i="5"/>
  <c r="I17" i="5"/>
  <c r="I16" i="5"/>
  <c r="I15" i="5"/>
  <c r="J15" i="5"/>
  <c r="B5" i="6"/>
  <c r="B8" i="6"/>
  <c r="B7" i="6"/>
  <c r="B6" i="6"/>
  <c r="I10" i="5"/>
  <c r="J2" i="5"/>
  <c r="K2" i="5"/>
  <c r="K6" i="5" s="1"/>
  <c r="J6" i="5"/>
  <c r="K8" i="5"/>
  <c r="J8" i="5"/>
  <c r="I8" i="5"/>
  <c r="K4" i="5"/>
  <c r="J4" i="5"/>
  <c r="K3" i="5"/>
  <c r="K5" i="5" s="1"/>
  <c r="J3" i="5"/>
  <c r="J5" i="5" s="1"/>
  <c r="I4" i="5"/>
  <c r="I3" i="5"/>
  <c r="D27" i="5"/>
  <c r="D28" i="5"/>
  <c r="D29" i="5"/>
  <c r="D30" i="5"/>
  <c r="D31" i="5"/>
  <c r="D32" i="5"/>
  <c r="D33" i="5"/>
  <c r="I9" i="5" s="1"/>
  <c r="D34" i="5"/>
  <c r="D35" i="5"/>
  <c r="D36" i="5"/>
  <c r="D37" i="5"/>
  <c r="D38" i="5"/>
  <c r="B39" i="5"/>
  <c r="D3" i="5"/>
  <c r="E3" i="5" s="1"/>
  <c r="D4" i="5"/>
  <c r="E4" i="5" s="1"/>
  <c r="D5" i="5"/>
  <c r="E5" i="5" s="1"/>
  <c r="D6" i="5"/>
  <c r="E6" i="5" s="1"/>
  <c r="D7" i="5"/>
  <c r="E7" i="5" s="1"/>
  <c r="D8" i="5"/>
  <c r="E8" i="5" s="1"/>
  <c r="D9" i="5"/>
  <c r="E9" i="5" s="1"/>
  <c r="D10" i="5"/>
  <c r="E10" i="5" s="1"/>
  <c r="D11" i="5"/>
  <c r="E11" i="5" s="1"/>
  <c r="D12" i="5"/>
  <c r="E12" i="5" s="1"/>
  <c r="D13" i="5"/>
  <c r="E13" i="5" s="1"/>
  <c r="D14" i="5"/>
  <c r="E14" i="5" s="1"/>
  <c r="D15" i="5"/>
  <c r="E15" i="5" s="1"/>
  <c r="D16" i="5"/>
  <c r="E16" i="5" s="1"/>
  <c r="D17" i="5"/>
  <c r="E17" i="5" s="1"/>
  <c r="D18" i="5"/>
  <c r="E18" i="5" s="1"/>
  <c r="D19" i="5"/>
  <c r="E19" i="5" s="1"/>
  <c r="D20" i="5"/>
  <c r="E20" i="5" s="1"/>
  <c r="D21" i="5"/>
  <c r="E21" i="5" s="1"/>
  <c r="D22" i="5"/>
  <c r="E22" i="5" s="1"/>
  <c r="D23" i="5"/>
  <c r="E23" i="5" s="1"/>
  <c r="D24" i="5"/>
  <c r="E24" i="5" s="1"/>
  <c r="D25" i="5"/>
  <c r="E25" i="5" s="1"/>
  <c r="D26" i="5"/>
  <c r="E26" i="5" s="1"/>
  <c r="D2" i="5"/>
  <c r="E2" i="5" s="1"/>
  <c r="C28" i="5"/>
  <c r="C32" i="5"/>
  <c r="C36" i="5"/>
  <c r="C33" i="5"/>
  <c r="C37" i="5"/>
  <c r="C30" i="5"/>
  <c r="C34" i="5"/>
  <c r="C38" i="5"/>
  <c r="C31" i="5"/>
  <c r="C35" i="5"/>
  <c r="C29" i="5"/>
  <c r="C27" i="5"/>
  <c r="J19" i="5" l="1"/>
  <c r="I18" i="5"/>
  <c r="I19" i="5"/>
  <c r="I5" i="5"/>
  <c r="C39" i="5"/>
  <c r="E27" i="5"/>
  <c r="E29" i="5"/>
  <c r="E35" i="5"/>
  <c r="E31" i="5"/>
  <c r="E38" i="5"/>
  <c r="E34" i="5"/>
  <c r="E30" i="5"/>
  <c r="E37" i="5"/>
  <c r="E33" i="5"/>
  <c r="E36" i="5"/>
  <c r="E32" i="5"/>
  <c r="E28" i="5"/>
  <c r="I2" i="5" l="1"/>
  <c r="I6" i="5"/>
  <c r="E39" i="5"/>
</calcChain>
</file>

<file path=xl/sharedStrings.xml><?xml version="1.0" encoding="utf-8"?>
<sst xmlns="http://schemas.openxmlformats.org/spreadsheetml/2006/main" count="794" uniqueCount="484">
  <si>
    <t>Name</t>
  </si>
  <si>
    <t>Email</t>
  </si>
  <si>
    <t>Phone Number</t>
  </si>
  <si>
    <t>Attendance Type</t>
  </si>
  <si>
    <t>Session Preference</t>
  </si>
  <si>
    <t>Ticket Price (€)</t>
  </si>
  <si>
    <t>Registration Date</t>
  </si>
  <si>
    <t>A001</t>
  </si>
  <si>
    <t>Participant 1</t>
  </si>
  <si>
    <t>Participant1@example.com</t>
  </si>
  <si>
    <t>555-0001</t>
  </si>
  <si>
    <t>Online</t>
  </si>
  <si>
    <t>Data Analytics</t>
  </si>
  <si>
    <t>A002</t>
  </si>
  <si>
    <t>Participant 2</t>
  </si>
  <si>
    <t>Participant2@example.com</t>
  </si>
  <si>
    <t>555-0002</t>
  </si>
  <si>
    <t>In-Person</t>
  </si>
  <si>
    <t>A003</t>
  </si>
  <si>
    <t>Participant 3</t>
  </si>
  <si>
    <t>Participant3@example.com</t>
  </si>
  <si>
    <t>555-0003</t>
  </si>
  <si>
    <t>Artificial Intelligence</t>
  </si>
  <si>
    <t>A004</t>
  </si>
  <si>
    <t>Participant 4</t>
  </si>
  <si>
    <t>Participant4@example.com</t>
  </si>
  <si>
    <t>555-0004</t>
  </si>
  <si>
    <t>Cybersecurity</t>
  </si>
  <si>
    <t>A005</t>
  </si>
  <si>
    <t>Participant 5</t>
  </si>
  <si>
    <t>Participant5@example.com</t>
  </si>
  <si>
    <t>555-0005</t>
  </si>
  <si>
    <t>A006</t>
  </si>
  <si>
    <t>Participant 6</t>
  </si>
  <si>
    <t>Participant6@example.com</t>
  </si>
  <si>
    <t>555-0006</t>
  </si>
  <si>
    <t>A007</t>
  </si>
  <si>
    <t>Participant 7</t>
  </si>
  <si>
    <t>Participant7@example.com</t>
  </si>
  <si>
    <t>555-0007</t>
  </si>
  <si>
    <t>A008</t>
  </si>
  <si>
    <t>Participant 8</t>
  </si>
  <si>
    <t>Participant8@example.com</t>
  </si>
  <si>
    <t>555-0008</t>
  </si>
  <si>
    <t>A009</t>
  </si>
  <si>
    <t>Participant 9</t>
  </si>
  <si>
    <t>Participant9@example.com</t>
  </si>
  <si>
    <t>555-0009</t>
  </si>
  <si>
    <t>A010</t>
  </si>
  <si>
    <t>Participant 10</t>
  </si>
  <si>
    <t>Participant10@example.com</t>
  </si>
  <si>
    <t>555-0010</t>
  </si>
  <si>
    <t>A011</t>
  </si>
  <si>
    <t>Participant 11</t>
  </si>
  <si>
    <t>Participant11@example.com</t>
  </si>
  <si>
    <t>555-0011</t>
  </si>
  <si>
    <t>A012</t>
  </si>
  <si>
    <t>Participant 12</t>
  </si>
  <si>
    <t>Participant12@example.com</t>
  </si>
  <si>
    <t>555-0012</t>
  </si>
  <si>
    <t>A013</t>
  </si>
  <si>
    <t>Participant 13</t>
  </si>
  <si>
    <t>Participant13@example.com</t>
  </si>
  <si>
    <t>555-0013</t>
  </si>
  <si>
    <t>A014</t>
  </si>
  <si>
    <t>Participant 14</t>
  </si>
  <si>
    <t>Participant14@example.com</t>
  </si>
  <si>
    <t>555-0014</t>
  </si>
  <si>
    <t>A015</t>
  </si>
  <si>
    <t>Participant 15</t>
  </si>
  <si>
    <t>Participant15@example.com</t>
  </si>
  <si>
    <t>555-0015</t>
  </si>
  <si>
    <t>A016</t>
  </si>
  <si>
    <t>Participant 16</t>
  </si>
  <si>
    <t>Participant16@example.com</t>
  </si>
  <si>
    <t>555-0016</t>
  </si>
  <si>
    <t>A017</t>
  </si>
  <si>
    <t>Participant 17</t>
  </si>
  <si>
    <t>Participant17@example.com</t>
  </si>
  <si>
    <t>555-0017</t>
  </si>
  <si>
    <t>A018</t>
  </si>
  <si>
    <t>Participant 18</t>
  </si>
  <si>
    <t>Participant18@example.com</t>
  </si>
  <si>
    <t>555-0018</t>
  </si>
  <si>
    <t>A019</t>
  </si>
  <si>
    <t>Participant 19</t>
  </si>
  <si>
    <t>Participant19@example.com</t>
  </si>
  <si>
    <t>555-0019</t>
  </si>
  <si>
    <t>A020</t>
  </si>
  <si>
    <t>Participant 20</t>
  </si>
  <si>
    <t>Participant20@example.com</t>
  </si>
  <si>
    <t>555-0020</t>
  </si>
  <si>
    <t>A021</t>
  </si>
  <si>
    <t>Participant 21</t>
  </si>
  <si>
    <t>Participant21@example.com</t>
  </si>
  <si>
    <t>555-0021</t>
  </si>
  <si>
    <t>A022</t>
  </si>
  <si>
    <t>Participant 22</t>
  </si>
  <si>
    <t>Participant22@example.com</t>
  </si>
  <si>
    <t>555-0022</t>
  </si>
  <si>
    <t>A023</t>
  </si>
  <si>
    <t>Participant 23</t>
  </si>
  <si>
    <t>Participant23@example.com</t>
  </si>
  <si>
    <t>555-0023</t>
  </si>
  <si>
    <t>A024</t>
  </si>
  <si>
    <t>Participant 24</t>
  </si>
  <si>
    <t>Participant24@example.com</t>
  </si>
  <si>
    <t>555-0024</t>
  </si>
  <si>
    <t>A025</t>
  </si>
  <si>
    <t>Participant 25</t>
  </si>
  <si>
    <t>Participant25@example.com</t>
  </si>
  <si>
    <t>555-0025</t>
  </si>
  <si>
    <t>A026</t>
  </si>
  <si>
    <t>Participant 26</t>
  </si>
  <si>
    <t>Participant26@example.com</t>
  </si>
  <si>
    <t>555-0026</t>
  </si>
  <si>
    <t>A027</t>
  </si>
  <si>
    <t>Participant 27</t>
  </si>
  <si>
    <t>Participant27@example.com</t>
  </si>
  <si>
    <t>555-0027</t>
  </si>
  <si>
    <t>A028</t>
  </si>
  <si>
    <t>Participant 28</t>
  </si>
  <si>
    <t>Participant28@example.com</t>
  </si>
  <si>
    <t>555-0028</t>
  </si>
  <si>
    <t>A029</t>
  </si>
  <si>
    <t>Participant 29</t>
  </si>
  <si>
    <t>Participant29@example.com</t>
  </si>
  <si>
    <t>555-0029</t>
  </si>
  <si>
    <t>A030</t>
  </si>
  <si>
    <t>Participant 30</t>
  </si>
  <si>
    <t>Participant30@example.com</t>
  </si>
  <si>
    <t>555-0030</t>
  </si>
  <si>
    <t>A031</t>
  </si>
  <si>
    <t>Participant 31</t>
  </si>
  <si>
    <t>Participant31@example.com</t>
  </si>
  <si>
    <t>555-0031</t>
  </si>
  <si>
    <t>A032</t>
  </si>
  <si>
    <t>Participant 32</t>
  </si>
  <si>
    <t>Participant32@example.com</t>
  </si>
  <si>
    <t>555-0032</t>
  </si>
  <si>
    <t>A033</t>
  </si>
  <si>
    <t>Participant 33</t>
  </si>
  <si>
    <t>Participant33@example.com</t>
  </si>
  <si>
    <t>555-0033</t>
  </si>
  <si>
    <t>A034</t>
  </si>
  <si>
    <t>Participant 34</t>
  </si>
  <si>
    <t>Participant34@example.com</t>
  </si>
  <si>
    <t>555-0034</t>
  </si>
  <si>
    <t>A035</t>
  </si>
  <si>
    <t>Participant 35</t>
  </si>
  <si>
    <t>Participant35@example.com</t>
  </si>
  <si>
    <t>555-0035</t>
  </si>
  <si>
    <t>A036</t>
  </si>
  <si>
    <t>Participant 36</t>
  </si>
  <si>
    <t>Participant36@example.com</t>
  </si>
  <si>
    <t>555-0036</t>
  </si>
  <si>
    <t>A037</t>
  </si>
  <si>
    <t>Participant 37</t>
  </si>
  <si>
    <t>Participant37@example.com</t>
  </si>
  <si>
    <t>555-0037</t>
  </si>
  <si>
    <t>A038</t>
  </si>
  <si>
    <t>Participant 38</t>
  </si>
  <si>
    <t>Participant38@example.com</t>
  </si>
  <si>
    <t>555-0038</t>
  </si>
  <si>
    <t>A039</t>
  </si>
  <si>
    <t>Participant 39</t>
  </si>
  <si>
    <t>Participant39@example.com</t>
  </si>
  <si>
    <t>555-0039</t>
  </si>
  <si>
    <t>A040</t>
  </si>
  <si>
    <t>Participant 40</t>
  </si>
  <si>
    <t>Participant40@example.com</t>
  </si>
  <si>
    <t>555-0040</t>
  </si>
  <si>
    <t>A041</t>
  </si>
  <si>
    <t>Participant 41</t>
  </si>
  <si>
    <t>Participant41@example.com</t>
  </si>
  <si>
    <t>555-0041</t>
  </si>
  <si>
    <t>A042</t>
  </si>
  <si>
    <t>Participant 42</t>
  </si>
  <si>
    <t>Participant42@example.com</t>
  </si>
  <si>
    <t>555-0042</t>
  </si>
  <si>
    <t>A043</t>
  </si>
  <si>
    <t>Participant 43</t>
  </si>
  <si>
    <t>Participant43@example.com</t>
  </si>
  <si>
    <t>555-0043</t>
  </si>
  <si>
    <t>A044</t>
  </si>
  <si>
    <t>Participant 44</t>
  </si>
  <si>
    <t>Participant44@example.com</t>
  </si>
  <si>
    <t>555-0044</t>
  </si>
  <si>
    <t>A045</t>
  </si>
  <si>
    <t>Participant 45</t>
  </si>
  <si>
    <t>Participant45@example.com</t>
  </si>
  <si>
    <t>555-0045</t>
  </si>
  <si>
    <t>A046</t>
  </si>
  <si>
    <t>Participant 46</t>
  </si>
  <si>
    <t>Participant46@example.com</t>
  </si>
  <si>
    <t>555-0046</t>
  </si>
  <si>
    <t>A047</t>
  </si>
  <si>
    <t>Participant 47</t>
  </si>
  <si>
    <t>Participant47@example.com</t>
  </si>
  <si>
    <t>555-0047</t>
  </si>
  <si>
    <t>A048</t>
  </si>
  <si>
    <t>Participant 48</t>
  </si>
  <si>
    <t>Participant48@example.com</t>
  </si>
  <si>
    <t>555-0048</t>
  </si>
  <si>
    <t>A049</t>
  </si>
  <si>
    <t>Participant 49</t>
  </si>
  <si>
    <t>Participant49@example.com</t>
  </si>
  <si>
    <t>555-0049</t>
  </si>
  <si>
    <t>A050</t>
  </si>
  <si>
    <t>Participant 50</t>
  </si>
  <si>
    <t>Participant50@example.com</t>
  </si>
  <si>
    <t>555-0050</t>
  </si>
  <si>
    <t>A051</t>
  </si>
  <si>
    <t>Participant 51</t>
  </si>
  <si>
    <t>Participant51@example.com</t>
  </si>
  <si>
    <t>555-0051</t>
  </si>
  <si>
    <t>A052</t>
  </si>
  <si>
    <t>Participant 52</t>
  </si>
  <si>
    <t>Participant52@example.com</t>
  </si>
  <si>
    <t>555-0052</t>
  </si>
  <si>
    <t>A053</t>
  </si>
  <si>
    <t>Participant 53</t>
  </si>
  <si>
    <t>Participant53@example.com</t>
  </si>
  <si>
    <t>555-0053</t>
  </si>
  <si>
    <t>A054</t>
  </si>
  <si>
    <t>Participant 54</t>
  </si>
  <si>
    <t>Participant54@example.com</t>
  </si>
  <si>
    <t>555-0054</t>
  </si>
  <si>
    <t>A055</t>
  </si>
  <si>
    <t>Participant 55</t>
  </si>
  <si>
    <t>Participant55@example.com</t>
  </si>
  <si>
    <t>555-0055</t>
  </si>
  <si>
    <t>A056</t>
  </si>
  <si>
    <t>Participant 56</t>
  </si>
  <si>
    <t>Participant56@example.com</t>
  </si>
  <si>
    <t>555-0056</t>
  </si>
  <si>
    <t>A057</t>
  </si>
  <si>
    <t>Participant 57</t>
  </si>
  <si>
    <t>Participant57@example.com</t>
  </si>
  <si>
    <t>555-0057</t>
  </si>
  <si>
    <t>A058</t>
  </si>
  <si>
    <t>Participant 58</t>
  </si>
  <si>
    <t>Participant58@example.com</t>
  </si>
  <si>
    <t>555-0058</t>
  </si>
  <si>
    <t>A059</t>
  </si>
  <si>
    <t>Participant 59</t>
  </si>
  <si>
    <t>Participant59@example.com</t>
  </si>
  <si>
    <t>555-0059</t>
  </si>
  <si>
    <t>A060</t>
  </si>
  <si>
    <t>Participant 60</t>
  </si>
  <si>
    <t>Participant60@example.com</t>
  </si>
  <si>
    <t>555-0060</t>
  </si>
  <si>
    <t>A061</t>
  </si>
  <si>
    <t>Participant 61</t>
  </si>
  <si>
    <t>Participant61@example.com</t>
  </si>
  <si>
    <t>555-0061</t>
  </si>
  <si>
    <t>A062</t>
  </si>
  <si>
    <t>Participant 62</t>
  </si>
  <si>
    <t>Participant62@example.com</t>
  </si>
  <si>
    <t>555-0062</t>
  </si>
  <si>
    <t>A063</t>
  </si>
  <si>
    <t>Participant 63</t>
  </si>
  <si>
    <t>Participant63@example.com</t>
  </si>
  <si>
    <t>555-0063</t>
  </si>
  <si>
    <t>A064</t>
  </si>
  <si>
    <t>Participant 64</t>
  </si>
  <si>
    <t>Participant64@example.com</t>
  </si>
  <si>
    <t>555-0064</t>
  </si>
  <si>
    <t>A065</t>
  </si>
  <si>
    <t>Participant 65</t>
  </si>
  <si>
    <t>Participant65@example.com</t>
  </si>
  <si>
    <t>555-0065</t>
  </si>
  <si>
    <t>A066</t>
  </si>
  <si>
    <t>Participant 66</t>
  </si>
  <si>
    <t>Participant66@example.com</t>
  </si>
  <si>
    <t>555-0066</t>
  </si>
  <si>
    <t>A067</t>
  </si>
  <si>
    <t>Participant 67</t>
  </si>
  <si>
    <t>Participant67@example.com</t>
  </si>
  <si>
    <t>555-0067</t>
  </si>
  <si>
    <t>A068</t>
  </si>
  <si>
    <t>Participant 68</t>
  </si>
  <si>
    <t>Participant68@example.com</t>
  </si>
  <si>
    <t>555-0068</t>
  </si>
  <si>
    <t>A069</t>
  </si>
  <si>
    <t>Participant 69</t>
  </si>
  <si>
    <t>Participant69@example.com</t>
  </si>
  <si>
    <t>555-0069</t>
  </si>
  <si>
    <t>A070</t>
  </si>
  <si>
    <t>Participant 70</t>
  </si>
  <si>
    <t>Participant70@example.com</t>
  </si>
  <si>
    <t>555-0070</t>
  </si>
  <si>
    <t>A071</t>
  </si>
  <si>
    <t>Participant 71</t>
  </si>
  <si>
    <t>Participant71@example.com</t>
  </si>
  <si>
    <t>555-0071</t>
  </si>
  <si>
    <t>A072</t>
  </si>
  <si>
    <t>Participant 72</t>
  </si>
  <si>
    <t>Participant72@example.com</t>
  </si>
  <si>
    <t>555-0072</t>
  </si>
  <si>
    <t>A073</t>
  </si>
  <si>
    <t>Participant 73</t>
  </si>
  <si>
    <t>Participant73@example.com</t>
  </si>
  <si>
    <t>555-0073</t>
  </si>
  <si>
    <t>A074</t>
  </si>
  <si>
    <t>Participant 74</t>
  </si>
  <si>
    <t>Participant74@example.com</t>
  </si>
  <si>
    <t>555-0074</t>
  </si>
  <si>
    <t>A075</t>
  </si>
  <si>
    <t>Participant 75</t>
  </si>
  <si>
    <t>Participant75@example.com</t>
  </si>
  <si>
    <t>555-0075</t>
  </si>
  <si>
    <t>A076</t>
  </si>
  <si>
    <t>Participant 76</t>
  </si>
  <si>
    <t>Participant76@example.com</t>
  </si>
  <si>
    <t>555-0076</t>
  </si>
  <si>
    <t>A077</t>
  </si>
  <si>
    <t>Participant 77</t>
  </si>
  <si>
    <t>Participant77@example.com</t>
  </si>
  <si>
    <t>555-0077</t>
  </si>
  <si>
    <t>A078</t>
  </si>
  <si>
    <t>Participant 78</t>
  </si>
  <si>
    <t>Participant78@example.com</t>
  </si>
  <si>
    <t>555-0078</t>
  </si>
  <si>
    <t>A079</t>
  </si>
  <si>
    <t>Participant 79</t>
  </si>
  <si>
    <t>Participant79@example.com</t>
  </si>
  <si>
    <t>555-0079</t>
  </si>
  <si>
    <t>A080</t>
  </si>
  <si>
    <t>Participant 80</t>
  </si>
  <si>
    <t>Participant80@example.com</t>
  </si>
  <si>
    <t>555-0080</t>
  </si>
  <si>
    <t>A081</t>
  </si>
  <si>
    <t>Participant 81</t>
  </si>
  <si>
    <t>Participant81@example.com</t>
  </si>
  <si>
    <t>555-0081</t>
  </si>
  <si>
    <t>A082</t>
  </si>
  <si>
    <t>Participant 82</t>
  </si>
  <si>
    <t>Participant82@example.com</t>
  </si>
  <si>
    <t>555-0082</t>
  </si>
  <si>
    <t>A083</t>
  </si>
  <si>
    <t>Participant 83</t>
  </si>
  <si>
    <t>Participant83@example.com</t>
  </si>
  <si>
    <t>555-0083</t>
  </si>
  <si>
    <t>A084</t>
  </si>
  <si>
    <t>Participant 84</t>
  </si>
  <si>
    <t>Participant84@example.com</t>
  </si>
  <si>
    <t>555-0084</t>
  </si>
  <si>
    <t>A085</t>
  </si>
  <si>
    <t>Participant 85</t>
  </si>
  <si>
    <t>Participant85@example.com</t>
  </si>
  <si>
    <t>555-0085</t>
  </si>
  <si>
    <t>A086</t>
  </si>
  <si>
    <t>Participant 86</t>
  </si>
  <si>
    <t>Participant86@example.com</t>
  </si>
  <si>
    <t>555-0086</t>
  </si>
  <si>
    <t>A087</t>
  </si>
  <si>
    <t>Participant 87</t>
  </si>
  <si>
    <t>Participant87@example.com</t>
  </si>
  <si>
    <t>555-0087</t>
  </si>
  <si>
    <t>A088</t>
  </si>
  <si>
    <t>Participant 88</t>
  </si>
  <si>
    <t>Participant88@example.com</t>
  </si>
  <si>
    <t>555-0088</t>
  </si>
  <si>
    <t>A089</t>
  </si>
  <si>
    <t>Participant 89</t>
  </si>
  <si>
    <t>Participant89@example.com</t>
  </si>
  <si>
    <t>555-0089</t>
  </si>
  <si>
    <t>A090</t>
  </si>
  <si>
    <t>Participant 90</t>
  </si>
  <si>
    <t>Participant90@example.com</t>
  </si>
  <si>
    <t>555-0090</t>
  </si>
  <si>
    <t>A091</t>
  </si>
  <si>
    <t>Participant 91</t>
  </si>
  <si>
    <t>Participant91@example.com</t>
  </si>
  <si>
    <t>555-0091</t>
  </si>
  <si>
    <t>A092</t>
  </si>
  <si>
    <t>Participant 92</t>
  </si>
  <si>
    <t>Participant92@example.com</t>
  </si>
  <si>
    <t>555-0092</t>
  </si>
  <si>
    <t>A093</t>
  </si>
  <si>
    <t>Participant 93</t>
  </si>
  <si>
    <t>Participant93@example.com</t>
  </si>
  <si>
    <t>555-0093</t>
  </si>
  <si>
    <t>A094</t>
  </si>
  <si>
    <t>Participant 94</t>
  </si>
  <si>
    <t>Participant94@example.com</t>
  </si>
  <si>
    <t>555-0094</t>
  </si>
  <si>
    <t>A095</t>
  </si>
  <si>
    <t>Participant 95</t>
  </si>
  <si>
    <t>Participant95@example.com</t>
  </si>
  <si>
    <t>555-0095</t>
  </si>
  <si>
    <t>A096</t>
  </si>
  <si>
    <t>Participant 96</t>
  </si>
  <si>
    <t>Participant96@example.com</t>
  </si>
  <si>
    <t>555-0096</t>
  </si>
  <si>
    <t>A097</t>
  </si>
  <si>
    <t>Participant 97</t>
  </si>
  <si>
    <t>Participant97@example.com</t>
  </si>
  <si>
    <t>555-0097</t>
  </si>
  <si>
    <t>A098</t>
  </si>
  <si>
    <t>Participant 98</t>
  </si>
  <si>
    <t>Participant98@example.com</t>
  </si>
  <si>
    <t>555-0098</t>
  </si>
  <si>
    <t>A099</t>
  </si>
  <si>
    <t>Participant 99</t>
  </si>
  <si>
    <t>Participant99@example.com</t>
  </si>
  <si>
    <t>555-0099</t>
  </si>
  <si>
    <t>A100</t>
  </si>
  <si>
    <t>Participant 100</t>
  </si>
  <si>
    <t>Participant100@example.com</t>
  </si>
  <si>
    <t>555-0100</t>
  </si>
  <si>
    <t>Target profit</t>
  </si>
  <si>
    <t>Marketing costs</t>
  </si>
  <si>
    <t>Operational costs</t>
  </si>
  <si>
    <t>Grand Total</t>
  </si>
  <si>
    <t>2022</t>
  </si>
  <si>
    <t>2023</t>
  </si>
  <si>
    <t>2024</t>
  </si>
  <si>
    <t>Sum of Ticket Price (€)</t>
  </si>
  <si>
    <t>ID</t>
  </si>
  <si>
    <t>Count of ID</t>
  </si>
  <si>
    <t>Year</t>
  </si>
  <si>
    <t>Qtr4</t>
  </si>
  <si>
    <t>Nov</t>
  </si>
  <si>
    <t>Dec</t>
  </si>
  <si>
    <t>Qtr1</t>
  </si>
  <si>
    <t>Qtr2</t>
  </si>
  <si>
    <t>Qtr3</t>
  </si>
  <si>
    <t>Oct</t>
  </si>
  <si>
    <t>Jan</t>
  </si>
  <si>
    <t>Feb</t>
  </si>
  <si>
    <t>Mar</t>
  </si>
  <si>
    <t>Apr</t>
  </si>
  <si>
    <t>May</t>
  </si>
  <si>
    <t>Jun</t>
  </si>
  <si>
    <t>Jul</t>
  </si>
  <si>
    <t>Aug</t>
  </si>
  <si>
    <t>Sep</t>
  </si>
  <si>
    <t>Actual Registrations</t>
  </si>
  <si>
    <t>Forecasted Registrations</t>
  </si>
  <si>
    <t>Notes</t>
  </si>
  <si>
    <t>Historical</t>
  </si>
  <si>
    <t>Dates</t>
  </si>
  <si>
    <t>Forecast</t>
  </si>
  <si>
    <t>Avg Price</t>
  </si>
  <si>
    <t>Forecasted Revenue</t>
  </si>
  <si>
    <t>Total:</t>
  </si>
  <si>
    <t>Total Forecasted Revenue:</t>
  </si>
  <si>
    <t>Marketing Costs:</t>
  </si>
  <si>
    <t>Operational Costs:</t>
  </si>
  <si>
    <t>Total Costs:</t>
  </si>
  <si>
    <t>Profit:</t>
  </si>
  <si>
    <t>Profit Target:</t>
  </si>
  <si>
    <t>Current Average Ticket Price:</t>
  </si>
  <si>
    <t>Current Total Attendees:</t>
  </si>
  <si>
    <t>Default Values</t>
  </si>
  <si>
    <t>Goal Seek (Ticket Price)</t>
  </si>
  <si>
    <t>Goal Seek (Total Attendees)</t>
  </si>
  <si>
    <t>TECH INNOVATORS SUMMIT DASHBOARD</t>
  </si>
  <si>
    <t>Total Attendees:</t>
  </si>
  <si>
    <t>Total Revenue:</t>
  </si>
  <si>
    <t>Average Ticket Price:</t>
  </si>
  <si>
    <t>Total Profit:</t>
  </si>
  <si>
    <t>KEY METRICS:</t>
  </si>
  <si>
    <t>Row Labels</t>
  </si>
  <si>
    <t>Last Refreshed: 2/28/2026 5:59:26 PM</t>
  </si>
  <si>
    <t>Default</t>
  </si>
  <si>
    <t>Updated</t>
  </si>
  <si>
    <t>Task 7: Updated Dashboard</t>
  </si>
  <si>
    <t>Task 4: Goal Seek</t>
  </si>
  <si>
    <t>TECH INNOVATORS SUMMIT - BUDGET CHALLENGE SCENARIO</t>
  </si>
  <si>
    <t>* UPDATED FINANCIAL TARGETS</t>
  </si>
  <si>
    <t>NEW FINANCIAL GOALS</t>
  </si>
  <si>
    <t>Marketing:</t>
  </si>
  <si>
    <t>Operations:</t>
  </si>
  <si>
    <t>SCENARIO RESULTS</t>
  </si>
  <si>
    <t xml:space="preserve">Option 1: </t>
  </si>
  <si>
    <t>Raise Price</t>
  </si>
  <si>
    <t>Price:</t>
  </si>
  <si>
    <t>Attendees:</t>
  </si>
  <si>
    <t>Add Attendees</t>
  </si>
  <si>
    <t>Last Refreshed: 2/28/2026 10:38:17 PM</t>
  </si>
  <si>
    <t xml:space="preserve">   Option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</si>
</sst>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yyyy\-mm\-dd"/>
    <numFmt numFmtId="165" formatCode="_-* #,##0_-;\-* #,##0_-;_-* &quot;-&quot;??_-;_-@"/>
    <numFmt numFmtId="166" formatCode="_(&quot;$&quot;* #,##0_);_(&quot;$&quot;* \(#,##0\);_(&quot;$&quot;* &quot;-&quot;??_);_(@_)"/>
    <numFmt numFmtId="167" formatCode="_([$€-2]\ * #,##0.00_);_([$€-2]\ * \(#,##0.00\);_([$€-2]\ * &quot;-&quot;??_);_(@_)"/>
    <numFmt numFmtId="168" formatCode="&quot;$&quot;#,##0.00"/>
  </numFmts>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sz val="11"/>
      <color theme="1"/>
      <name val="Calibri"/>
      <family val="2"/>
      <scheme val="minor"/>
    </font>
    <font>
      <b/>
      <sz val="11"/>
      <color theme="1"/>
      <name val="Calibri"/>
      <family val="2"/>
      <scheme val="minor"/>
    </font>
    <font>
      <sz val="10"/>
      <color rgb="FF0F1115"/>
      <name val="Consolas"/>
      <family val="3"/>
    </font>
    <font>
      <b/>
      <sz val="10"/>
      <color rgb="FF0F1115"/>
      <name val="Consolas"/>
      <family val="3"/>
    </font>
    <font>
      <b/>
      <sz val="11"/>
      <color rgb="FF0F1115"/>
      <name val="Segoe UI"/>
      <family val="2"/>
    </font>
    <font>
      <b/>
      <sz val="11"/>
      <color rgb="FF0F1115"/>
      <name val="Calibri"/>
      <family val="2"/>
      <scheme val="major"/>
    </font>
    <font>
      <b/>
      <sz val="10"/>
      <color rgb="FF0F1115"/>
      <name val="Segoe UI"/>
      <family val="2"/>
    </font>
  </fonts>
  <fills count="4">
    <fill>
      <patternFill patternType="none"/>
    </fill>
    <fill>
      <patternFill patternType="gray125"/>
    </fill>
    <fill>
      <patternFill patternType="solid">
        <fgColor rgb="FFFFFF00"/>
        <bgColor indexed="64"/>
      </patternFill>
    </fill>
    <fill>
      <patternFill patternType="solid">
        <fgColor rgb="FFFFFFFF"/>
        <bgColor indexed="64"/>
      </patternFill>
    </fill>
  </fills>
  <borders count="5">
    <border>
      <left/>
      <right/>
      <top/>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2">
    <xf numFmtId="0" fontId="0" fillId="0" borderId="0"/>
    <xf numFmtId="44" fontId="7" fillId="0" borderId="0" applyFont="0" applyFill="0" applyBorder="0" applyAlignment="0" applyProtection="0"/>
  </cellStyleXfs>
  <cellXfs count="55">
    <xf numFmtId="0" fontId="0" fillId="0" borderId="0" xfId="0"/>
    <xf numFmtId="0" fontId="4" fillId="0" borderId="1" xfId="0" applyFont="1" applyBorder="1" applyAlignment="1">
      <alignment horizontal="center" vertical="top"/>
    </xf>
    <xf numFmtId="0" fontId="5" fillId="0" borderId="0" xfId="0" applyFont="1"/>
    <xf numFmtId="164" fontId="6" fillId="0" borderId="0" xfId="0" applyNumberFormat="1" applyFont="1"/>
    <xf numFmtId="165" fontId="6"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center"/>
    </xf>
    <xf numFmtId="1" fontId="9" fillId="0" borderId="0" xfId="0" applyNumberFormat="1" applyFont="1" applyAlignment="1">
      <alignment horizontal="center" vertical="center"/>
    </xf>
    <xf numFmtId="0" fontId="3" fillId="0" borderId="0" xfId="0" applyFont="1" applyAlignment="1">
      <alignment horizontal="center"/>
    </xf>
    <xf numFmtId="17" fontId="0" fillId="0" borderId="0" xfId="0" applyNumberFormat="1" applyAlignment="1">
      <alignment horizontal="center"/>
    </xf>
    <xf numFmtId="164" fontId="0" fillId="0" borderId="0" xfId="0" applyNumberFormat="1" applyAlignment="1">
      <alignment horizontal="center"/>
    </xf>
    <xf numFmtId="166" fontId="0" fillId="0" borderId="0" xfId="1" applyNumberFormat="1" applyFont="1" applyAlignment="1">
      <alignment horizontal="center"/>
    </xf>
    <xf numFmtId="164" fontId="8" fillId="2" borderId="0" xfId="0" applyNumberFormat="1" applyFont="1" applyFill="1" applyAlignment="1">
      <alignment horizontal="center"/>
    </xf>
    <xf numFmtId="0" fontId="8" fillId="2" borderId="0" xfId="0" applyFont="1" applyFill="1" applyAlignment="1">
      <alignment horizontal="center"/>
    </xf>
    <xf numFmtId="1" fontId="8" fillId="2" borderId="0" xfId="0" applyNumberFormat="1" applyFont="1" applyFill="1" applyAlignment="1">
      <alignment horizontal="center"/>
    </xf>
    <xf numFmtId="167" fontId="8" fillId="2" borderId="0" xfId="1" applyNumberFormat="1" applyFont="1" applyFill="1" applyAlignment="1">
      <alignment horizontal="center"/>
    </xf>
    <xf numFmtId="167" fontId="0" fillId="0" borderId="0" xfId="1" applyNumberFormat="1" applyFont="1" applyAlignment="1">
      <alignment horizontal="center"/>
    </xf>
    <xf numFmtId="0" fontId="8" fillId="0" borderId="0" xfId="0" applyFont="1"/>
    <xf numFmtId="0" fontId="2" fillId="0" borderId="0" xfId="0" applyFont="1"/>
    <xf numFmtId="0" fontId="2" fillId="0" borderId="0" xfId="0" applyFont="1" applyAlignment="1">
      <alignment horizontal="center"/>
    </xf>
    <xf numFmtId="167" fontId="9" fillId="0" borderId="0" xfId="0" applyNumberFormat="1" applyFont="1" applyAlignment="1">
      <alignment horizontal="right" vertical="center" indent="1"/>
    </xf>
    <xf numFmtId="167" fontId="9" fillId="0" borderId="0" xfId="1" applyNumberFormat="1" applyFont="1" applyAlignment="1">
      <alignment horizontal="right" vertical="center" indent="1"/>
    </xf>
    <xf numFmtId="167" fontId="9" fillId="0" borderId="0" xfId="0" applyNumberFormat="1" applyFont="1" applyAlignment="1">
      <alignment horizontal="left" vertical="center" indent="1"/>
    </xf>
    <xf numFmtId="167" fontId="0" fillId="0" borderId="0" xfId="0" applyNumberFormat="1"/>
    <xf numFmtId="1" fontId="0" fillId="0" borderId="0" xfId="0" applyNumberFormat="1"/>
    <xf numFmtId="167" fontId="10" fillId="2" borderId="0" xfId="0" applyNumberFormat="1" applyFont="1" applyFill="1" applyAlignment="1">
      <alignment horizontal="right" vertical="center" indent="1"/>
    </xf>
    <xf numFmtId="0" fontId="8" fillId="2" borderId="0" xfId="0" applyFont="1" applyFill="1"/>
    <xf numFmtId="1" fontId="8" fillId="2" borderId="0" xfId="0" applyNumberFormat="1" applyFont="1" applyFill="1"/>
    <xf numFmtId="168" fontId="0" fillId="0" borderId="0" xfId="0" applyNumberFormat="1"/>
    <xf numFmtId="0" fontId="11" fillId="0" borderId="0" xfId="0" applyFont="1" applyAlignment="1">
      <alignment horizontal="center"/>
    </xf>
    <xf numFmtId="0" fontId="11" fillId="0" borderId="0" xfId="0" applyFont="1"/>
    <xf numFmtId="0" fontId="11" fillId="3" borderId="3" xfId="0" applyFont="1" applyFill="1" applyBorder="1" applyAlignment="1">
      <alignment horizontal="left" vertical="center" wrapText="1" indent="1"/>
    </xf>
    <xf numFmtId="0" fontId="10" fillId="3" borderId="3" xfId="0" applyFont="1" applyFill="1" applyBorder="1" applyAlignment="1">
      <alignment horizontal="right" vertical="center" wrapText="1" indent="1"/>
    </xf>
    <xf numFmtId="0" fontId="11" fillId="3" borderId="0" xfId="0" applyFont="1" applyFill="1" applyAlignment="1">
      <alignment horizontal="left" vertical="center" wrapText="1" indent="1"/>
    </xf>
    <xf numFmtId="167" fontId="10" fillId="3" borderId="0" xfId="0" applyNumberFormat="1" applyFont="1" applyFill="1" applyAlignment="1">
      <alignment horizontal="right" vertical="center" wrapText="1" indent="1"/>
    </xf>
    <xf numFmtId="0" fontId="11" fillId="0" borderId="2" xfId="0" applyFont="1" applyBorder="1"/>
    <xf numFmtId="167" fontId="10" fillId="0" borderId="2" xfId="0" applyNumberFormat="1" applyFont="1" applyBorder="1" applyAlignment="1">
      <alignment horizontal="right"/>
    </xf>
    <xf numFmtId="0" fontId="1" fillId="0" borderId="0" xfId="0" applyFont="1"/>
    <xf numFmtId="0" fontId="1" fillId="0" borderId="0" xfId="0" applyFont="1" applyAlignment="1">
      <alignment horizontal="center"/>
    </xf>
    <xf numFmtId="167" fontId="10" fillId="0" borderId="0" xfId="0" applyNumberFormat="1" applyFont="1" applyAlignment="1">
      <alignment horizontal="right" vertical="center" indent="1"/>
    </xf>
    <xf numFmtId="167" fontId="9" fillId="2" borderId="0" xfId="0" applyNumberFormat="1" applyFont="1" applyFill="1" applyAlignment="1">
      <alignment horizontal="right" vertical="center" indent="1"/>
    </xf>
    <xf numFmtId="1" fontId="2" fillId="2" borderId="0" xfId="0" applyNumberFormat="1" applyFont="1" applyFill="1"/>
    <xf numFmtId="0" fontId="8" fillId="0" borderId="2" xfId="0" applyFont="1" applyBorder="1"/>
    <xf numFmtId="0" fontId="11" fillId="3" borderId="2" xfId="0" applyFont="1" applyFill="1" applyBorder="1" applyAlignment="1">
      <alignment horizontal="left" vertical="center" wrapText="1" indent="1"/>
    </xf>
    <xf numFmtId="167" fontId="10" fillId="3" borderId="2" xfId="0" applyNumberFormat="1" applyFont="1" applyFill="1" applyBorder="1" applyAlignment="1">
      <alignment horizontal="right" vertical="center" wrapText="1" indent="1"/>
    </xf>
    <xf numFmtId="0" fontId="8" fillId="0" borderId="4" xfId="0" applyFont="1" applyBorder="1"/>
    <xf numFmtId="0" fontId="11" fillId="0" borderId="0" xfId="0" applyFont="1" applyAlignment="1">
      <alignment horizontal="center"/>
    </xf>
    <xf numFmtId="0" fontId="12" fillId="3" borderId="3" xfId="0" applyFont="1" applyFill="1" applyBorder="1" applyAlignment="1">
      <alignment horizontal="left" vertical="center" wrapText="1" indent="1"/>
    </xf>
    <xf numFmtId="167" fontId="10" fillId="3" borderId="0" xfId="0" applyNumberFormat="1" applyFont="1" applyFill="1" applyBorder="1" applyAlignment="1">
      <alignment horizontal="right" vertical="center" wrapText="1" indent="1"/>
    </xf>
    <xf numFmtId="0" fontId="13" fillId="3" borderId="0" xfId="0" applyFont="1" applyFill="1" applyAlignment="1">
      <alignment horizontal="left" vertical="center" wrapText="1" indent="1"/>
    </xf>
    <xf numFmtId="1" fontId="10" fillId="3" borderId="0" xfId="0" applyNumberFormat="1" applyFont="1" applyFill="1" applyBorder="1" applyAlignment="1">
      <alignment horizontal="right" vertical="center" wrapText="1" indent="1"/>
    </xf>
    <xf numFmtId="1" fontId="10" fillId="3" borderId="0" xfId="0" applyNumberFormat="1" applyFont="1" applyFill="1" applyAlignment="1">
      <alignment horizontal="right" vertical="center" wrapText="1" indent="1"/>
    </xf>
  </cellXfs>
  <cellStyles count="2">
    <cellStyle name="Currency" xfId="1" builtinId="4"/>
    <cellStyle name="Normal" xfId="0" builtinId="0"/>
  </cellStyles>
  <dxfs count="7">
    <dxf>
      <font>
        <b val="0"/>
        <i val="0"/>
        <strike val="0"/>
        <condense val="0"/>
        <extend val="0"/>
        <outline val="0"/>
        <shadow val="0"/>
        <u val="none"/>
        <vertAlign val="baseline"/>
        <sz val="11"/>
        <color theme="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_([$€-2]\ * #,##0.00_);_([$€-2]\ * \(#,##0.00\);_([$€-2]\ * &quot;-&quot;??_);_(@_)"/>
      <alignment horizontal="center" vertical="bottom" textRotation="0" wrapText="0" indent="0" justifyLastLine="0" shrinkToFit="0" readingOrder="0"/>
    </dxf>
    <dxf>
      <font>
        <b val="0"/>
        <i val="0"/>
        <strike val="0"/>
        <condense val="0"/>
        <extend val="0"/>
        <outline val="0"/>
        <shadow val="0"/>
        <u val="none"/>
        <vertAlign val="baseline"/>
        <sz val="10"/>
        <color rgb="FF0F1115"/>
        <name val="Consolas"/>
        <family val="3"/>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F1115"/>
        <name val="Consolas"/>
        <family val="3"/>
        <scheme val="none"/>
      </font>
      <numFmt numFmtId="1" formatCode="0"/>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numFmt numFmtId="22" formatCode="mmm\-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customschemas.google.com/relationships/workbookmetadata" Target="metadata"/><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11/relationships/timelineCache" Target="timelineCaches/timeline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Tech-Innovators-Summit-Dataset_V4.xlsm]Sheet1!PivotTable2</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by Session Type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cat>
            <c:strRef>
              <c:f>Sheet1!$A$4:$A$7</c:f>
              <c:strCache>
                <c:ptCount val="3"/>
                <c:pt idx="0">
                  <c:v>Artificial Intelligence</c:v>
                </c:pt>
                <c:pt idx="1">
                  <c:v>Cybersecurity</c:v>
                </c:pt>
                <c:pt idx="2">
                  <c:v>Data Analytics</c:v>
                </c:pt>
              </c:strCache>
            </c:strRef>
          </c:cat>
          <c:val>
            <c:numRef>
              <c:f>Sheet1!$B$4:$B$7</c:f>
              <c:numCache>
                <c:formatCode>"$"#,##0.00</c:formatCode>
                <c:ptCount val="3"/>
                <c:pt idx="0">
                  <c:v>23100</c:v>
                </c:pt>
                <c:pt idx="1">
                  <c:v>9900</c:v>
                </c:pt>
                <c:pt idx="2">
                  <c:v>15300</c:v>
                </c:pt>
              </c:numCache>
            </c:numRef>
          </c:val>
          <c:extLst>
            <c:ext xmlns:c16="http://schemas.microsoft.com/office/drawing/2014/chart" uri="{C3380CC4-5D6E-409C-BE32-E72D297353CC}">
              <c16:uniqueId val="{00000000-0B89-4E69-BFE9-44B37B8BBB10}"/>
            </c:ext>
          </c:extLst>
        </c:ser>
        <c:dLbls>
          <c:showLegendKey val="0"/>
          <c:showVal val="0"/>
          <c:showCatName val="0"/>
          <c:showSerName val="0"/>
          <c:showPercent val="0"/>
          <c:showBubbleSize val="0"/>
        </c:dLbls>
        <c:gapWidth val="182"/>
        <c:axId val="602130624"/>
        <c:axId val="602140344"/>
      </c:barChart>
      <c:catAx>
        <c:axId val="60213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40344"/>
        <c:crosses val="autoZero"/>
        <c:auto val="1"/>
        <c:lblAlgn val="ctr"/>
        <c:lblOffset val="100"/>
        <c:noMultiLvlLbl val="0"/>
      </c:catAx>
      <c:valAx>
        <c:axId val="602140344"/>
        <c:scaling>
          <c:orientation val="minMax"/>
        </c:scaling>
        <c:delete val="0"/>
        <c:axPos val="b"/>
        <c:majorGridlines>
          <c:spPr>
            <a:ln w="9525" cap="flat" cmpd="sng" algn="ctr">
              <a:solidFill>
                <a:schemeClr val="tx1">
                  <a:lumMod val="15000"/>
                  <a:lumOff val="85000"/>
                </a:schemeClr>
              </a:solidFill>
              <a:round/>
            </a:ln>
            <a:effectLst/>
          </c:spPr>
        </c:majorGridlines>
        <c:numFmt formatCode="[$€-2]\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3062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Tech-Innovators-Summit-Dataset_V4.xlsm]Sheet1!PivotTable4</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Monthly Attendee</a:t>
            </a:r>
            <a:r>
              <a:rPr lang="en-US" b="1" baseline="0"/>
              <a:t> Trends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Sheet1!$G$3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Sheet1!$F$4:$F$32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Sheet1!$G$4:$G$32</c:f>
              <c:numCache>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0-2C7E-4F12-AE49-E998DAD1D36B}"/>
            </c:ext>
          </c:extLst>
        </c:ser>
        <c:dLbls>
          <c:dLblPos val="t"/>
          <c:showLegendKey val="0"/>
          <c:showVal val="1"/>
          <c:showCatName val="0"/>
          <c:showSerName val="0"/>
          <c:showPercent val="0"/>
          <c:showBubbleSize val="0"/>
        </c:dLbls>
        <c:smooth val="0"/>
        <c:axId val="841855136"/>
        <c:axId val="841864856"/>
      </c:lineChart>
      <c:catAx>
        <c:axId val="84185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864856"/>
        <c:crosses val="autoZero"/>
        <c:auto val="1"/>
        <c:lblAlgn val="ctr"/>
        <c:lblOffset val="100"/>
        <c:noMultiLvlLbl val="0"/>
      </c:catAx>
      <c:valAx>
        <c:axId val="84186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855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Tech-Innovators-Summit-Dataset_V4.xlsm]Sheet1!PivotTable5</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Attendance Type Split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Sheet1!$L$3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8-470F-A981-54448618BC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8-470F-A981-54448618BCA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A8-4EAA-964C-6DB5F5CDE7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Sheet1!$K$4:$K$6</c:f>
              <c:strCache>
                <c:ptCount val="2"/>
                <c:pt idx="0">
                  <c:v>In-Person</c:v>
                </c:pt>
                <c:pt idx="1">
                  <c:v>Online</c:v>
                </c:pt>
              </c:strCache>
            </c:strRef>
          </c:cat>
          <c:val>
            <c:numRef>
              <c:f>Sheet1!$L$4:$L$6</c:f>
              <c:numCache>
                <c:formatCode>General</c:formatCode>
                <c:ptCount val="2"/>
                <c:pt idx="0">
                  <c:v>50</c:v>
                </c:pt>
                <c:pt idx="1">
                  <c:v>50</c:v>
                </c:pt>
              </c:numCache>
            </c:numRef>
          </c:val>
          <c:extLst>
            <c:ext xmlns:c16="http://schemas.microsoft.com/office/drawing/2014/chart" uri="{C3380CC4-5D6E-409C-BE32-E72D297353CC}">
              <c16:uniqueId val="{00000004-4328-470F-A981-54448618BCA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9215768310585346"/>
          <c:y val="0.49829446040740327"/>
          <c:w val="0.18902243456208412"/>
          <c:h val="0.2205874680963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Tech-Innovators-Summit-Dataset_V4.xlsm]Sheet1!PivotTable2</c:name>
    <c:fmtId val="2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by Session Type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cat>
            <c:strRef>
              <c:f>Sheet1!$A$4:$A$7</c:f>
              <c:strCache>
                <c:ptCount val="3"/>
                <c:pt idx="0">
                  <c:v>Artificial Intelligence</c:v>
                </c:pt>
                <c:pt idx="1">
                  <c:v>Cybersecurity</c:v>
                </c:pt>
                <c:pt idx="2">
                  <c:v>Data Analytics</c:v>
                </c:pt>
              </c:strCache>
            </c:strRef>
          </c:cat>
          <c:val>
            <c:numRef>
              <c:f>Sheet1!$B$4:$B$7</c:f>
              <c:numCache>
                <c:formatCode>"$"#,##0.00</c:formatCode>
                <c:ptCount val="3"/>
                <c:pt idx="0">
                  <c:v>23100</c:v>
                </c:pt>
                <c:pt idx="1">
                  <c:v>9900</c:v>
                </c:pt>
                <c:pt idx="2">
                  <c:v>15300</c:v>
                </c:pt>
              </c:numCache>
            </c:numRef>
          </c:val>
          <c:extLst>
            <c:ext xmlns:c16="http://schemas.microsoft.com/office/drawing/2014/chart" uri="{C3380CC4-5D6E-409C-BE32-E72D297353CC}">
              <c16:uniqueId val="{00000000-A46D-4A29-A023-CBD12630C67E}"/>
            </c:ext>
          </c:extLst>
        </c:ser>
        <c:dLbls>
          <c:showLegendKey val="0"/>
          <c:showVal val="0"/>
          <c:showCatName val="0"/>
          <c:showSerName val="0"/>
          <c:showPercent val="0"/>
          <c:showBubbleSize val="0"/>
        </c:dLbls>
        <c:gapWidth val="182"/>
        <c:axId val="602130624"/>
        <c:axId val="602140344"/>
      </c:barChart>
      <c:catAx>
        <c:axId val="60213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40344"/>
        <c:crosses val="autoZero"/>
        <c:auto val="1"/>
        <c:lblAlgn val="ctr"/>
        <c:lblOffset val="100"/>
        <c:noMultiLvlLbl val="0"/>
      </c:catAx>
      <c:valAx>
        <c:axId val="602140344"/>
        <c:scaling>
          <c:orientation val="minMax"/>
        </c:scaling>
        <c:delete val="0"/>
        <c:axPos val="b"/>
        <c:majorGridlines>
          <c:spPr>
            <a:ln w="9525" cap="flat" cmpd="sng" algn="ctr">
              <a:solidFill>
                <a:schemeClr val="tx1">
                  <a:lumMod val="15000"/>
                  <a:lumOff val="85000"/>
                </a:schemeClr>
              </a:solidFill>
              <a:round/>
            </a:ln>
            <a:effectLst/>
          </c:spPr>
        </c:majorGridlines>
        <c:numFmt formatCode="[$€-2]\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130624"/>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Tech-Innovators-Summit-Dataset_V4.xlsm]Sheet1!PivotTable5</c:name>
    <c:fmtId val="2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Attendance Type Split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s>
    <c:plotArea>
      <c:layout>
        <c:manualLayout>
          <c:layoutTarget val="inner"/>
          <c:xMode val="edge"/>
          <c:yMode val="edge"/>
          <c:x val="5.0456289681155377E-2"/>
          <c:y val="0.22539012979247172"/>
          <c:w val="0.49634096141770739"/>
          <c:h val="0.69966718365974057"/>
        </c:manualLayout>
      </c:layout>
      <c:pieChart>
        <c:varyColors val="1"/>
        <c:ser>
          <c:idx val="0"/>
          <c:order val="0"/>
          <c:tx>
            <c:strRef>
              <c:f>Sheet1!$L$3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56-4474-826C-572D2585D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56-4474-826C-572D2585D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56-4474-826C-572D2585DA4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Sheet1!$K$4:$K$6</c:f>
              <c:strCache>
                <c:ptCount val="2"/>
                <c:pt idx="0">
                  <c:v>In-Person</c:v>
                </c:pt>
                <c:pt idx="1">
                  <c:v>Online</c:v>
                </c:pt>
              </c:strCache>
            </c:strRef>
          </c:cat>
          <c:val>
            <c:numRef>
              <c:f>Sheet1!$L$4:$L$6</c:f>
              <c:numCache>
                <c:formatCode>General</c:formatCode>
                <c:ptCount val="2"/>
                <c:pt idx="0">
                  <c:v>50</c:v>
                </c:pt>
                <c:pt idx="1">
                  <c:v>50</c:v>
                </c:pt>
              </c:numCache>
            </c:numRef>
          </c:val>
          <c:extLst>
            <c:ext xmlns:c16="http://schemas.microsoft.com/office/drawing/2014/chart" uri="{C3380CC4-5D6E-409C-BE32-E72D297353CC}">
              <c16:uniqueId val="{00000006-0A56-4474-826C-572D2585DA4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8139921858647881"/>
          <c:y val="0.46082326803222345"/>
          <c:w val="0.25990790483499615"/>
          <c:h val="0.283039938944330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[James Tech-Innovators-Summit-Dataset_V4.xlsm]Sheet1!PivotTable4</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Monthly Attendee</a:t>
            </a:r>
            <a:r>
              <a:rPr lang="en-US" b="1" baseline="0"/>
              <a:t> Trends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Sheet1!$G$3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Sheet1!$F$4:$F$32</c:f>
              <c:multiLvlStrCache>
                <c:ptCount val="25"/>
                <c:lvl>
                  <c:pt idx="0">
                    <c:v>Nov</c:v>
                  </c:pt>
                  <c:pt idx="1">
                    <c:v>Dec</c:v>
                  </c:pt>
                  <c:pt idx="2">
                    <c:v>Jan</c:v>
                  </c:pt>
                  <c:pt idx="3">
                    <c:v>Feb</c:v>
                  </c:pt>
                  <c:pt idx="4">
                    <c:v>Mar</c:v>
                  </c:pt>
                  <c:pt idx="5">
                    <c:v>Apr</c:v>
                  </c:pt>
                  <c:pt idx="6">
                    <c:v>May</c:v>
                  </c:pt>
                  <c:pt idx="7">
                    <c:v>Jun</c:v>
                  </c:pt>
                  <c:pt idx="8">
                    <c:v>Jul</c:v>
                  </c:pt>
                  <c:pt idx="9">
                    <c:v>Aug</c:v>
                  </c:pt>
                  <c:pt idx="10">
                    <c:v>Sep</c:v>
                  </c:pt>
                  <c:pt idx="11">
                    <c:v>Oct</c:v>
                  </c:pt>
                  <c:pt idx="12">
                    <c:v>Nov</c:v>
                  </c:pt>
                  <c:pt idx="13">
                    <c:v>Dec</c:v>
                  </c:pt>
                  <c:pt idx="14">
                    <c:v>Jan</c:v>
                  </c:pt>
                  <c:pt idx="15">
                    <c:v>Feb</c:v>
                  </c:pt>
                  <c:pt idx="16">
                    <c:v>Mar</c:v>
                  </c:pt>
                  <c:pt idx="17">
                    <c:v>Apr</c:v>
                  </c:pt>
                  <c:pt idx="18">
                    <c:v>May</c:v>
                  </c:pt>
                  <c:pt idx="19">
                    <c:v>Jun</c:v>
                  </c:pt>
                  <c:pt idx="20">
                    <c:v>Jul</c:v>
                  </c:pt>
                  <c:pt idx="21">
                    <c:v>Aug</c:v>
                  </c:pt>
                  <c:pt idx="22">
                    <c:v>Sep</c:v>
                  </c:pt>
                  <c:pt idx="23">
                    <c:v>Oct</c:v>
                  </c:pt>
                  <c:pt idx="24">
                    <c:v>Nov</c:v>
                  </c:pt>
                </c:lvl>
                <c:lvl>
                  <c:pt idx="0">
                    <c:v>2022</c:v>
                  </c:pt>
                  <c:pt idx="2">
                    <c:v>2023</c:v>
                  </c:pt>
                  <c:pt idx="14">
                    <c:v>2024</c:v>
                  </c:pt>
                </c:lvl>
              </c:multiLvlStrCache>
            </c:multiLvlStrRef>
          </c:cat>
          <c:val>
            <c:numRef>
              <c:f>Sheet1!$G$4:$G$32</c:f>
              <c:numCache>
                <c:formatCode>General</c:formatCode>
                <c:ptCount val="25"/>
                <c:pt idx="0">
                  <c:v>1</c:v>
                </c:pt>
                <c:pt idx="1">
                  <c:v>4</c:v>
                </c:pt>
                <c:pt idx="2">
                  <c:v>3</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numCache>
            </c:numRef>
          </c:val>
          <c:smooth val="0"/>
          <c:extLst>
            <c:ext xmlns:c16="http://schemas.microsoft.com/office/drawing/2014/chart" uri="{C3380CC4-5D6E-409C-BE32-E72D297353CC}">
              <c16:uniqueId val="{00000000-7725-4D28-8FD4-D1C4B5CFAF16}"/>
            </c:ext>
          </c:extLst>
        </c:ser>
        <c:dLbls>
          <c:dLblPos val="t"/>
          <c:showLegendKey val="0"/>
          <c:showVal val="1"/>
          <c:showCatName val="0"/>
          <c:showSerName val="0"/>
          <c:showPercent val="0"/>
          <c:showBubbleSize val="0"/>
        </c:dLbls>
        <c:smooth val="0"/>
        <c:axId val="841855136"/>
        <c:axId val="841864856"/>
      </c:lineChart>
      <c:catAx>
        <c:axId val="84185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864856"/>
        <c:crosses val="autoZero"/>
        <c:auto val="1"/>
        <c:lblAlgn val="ctr"/>
        <c:lblOffset val="100"/>
        <c:noMultiLvlLbl val="0"/>
      </c:catAx>
      <c:valAx>
        <c:axId val="84186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855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77442</xdr:colOff>
      <xdr:row>0</xdr:row>
      <xdr:rowOff>149087</xdr:rowOff>
    </xdr:from>
    <xdr:to>
      <xdr:col>7</xdr:col>
      <xdr:colOff>106017</xdr:colOff>
      <xdr:row>10</xdr:row>
      <xdr:rowOff>91937</xdr:rowOff>
    </xdr:to>
    <xdr:graphicFrame macro="">
      <xdr:nvGraphicFramePr>
        <xdr:cNvPr id="2" name="Chart 1">
          <a:extLst>
            <a:ext uri="{FF2B5EF4-FFF2-40B4-BE49-F238E27FC236}">
              <a16:creationId xmlns:a16="http://schemas.microsoft.com/office/drawing/2014/main" id="{1AA3C98B-85D4-441D-A9CF-B4FE3B329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22482</xdr:colOff>
      <xdr:row>10</xdr:row>
      <xdr:rowOff>175710</xdr:rowOff>
    </xdr:from>
    <xdr:to>
      <xdr:col>12</xdr:col>
      <xdr:colOff>571501</xdr:colOff>
      <xdr:row>20</xdr:row>
      <xdr:rowOff>149088</xdr:rowOff>
    </xdr:to>
    <xdr:graphicFrame macro="">
      <xdr:nvGraphicFramePr>
        <xdr:cNvPr id="3" name="Chart 2">
          <a:extLst>
            <a:ext uri="{FF2B5EF4-FFF2-40B4-BE49-F238E27FC236}">
              <a16:creationId xmlns:a16="http://schemas.microsoft.com/office/drawing/2014/main" id="{35A155CB-764E-41C1-B640-AF211133A5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202155</xdr:colOff>
      <xdr:row>0</xdr:row>
      <xdr:rowOff>127435</xdr:rowOff>
    </xdr:from>
    <xdr:to>
      <xdr:col>12</xdr:col>
      <xdr:colOff>557893</xdr:colOff>
      <xdr:row>10</xdr:row>
      <xdr:rowOff>116548</xdr:rowOff>
    </xdr:to>
    <xdr:graphicFrame macro="">
      <xdr:nvGraphicFramePr>
        <xdr:cNvPr id="4" name="Chart 3">
          <a:extLst>
            <a:ext uri="{FF2B5EF4-FFF2-40B4-BE49-F238E27FC236}">
              <a16:creationId xmlns:a16="http://schemas.microsoft.com/office/drawing/2014/main" id="{B9A05459-5D31-4163-9419-9C2A30EEB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62387</xdr:colOff>
      <xdr:row>21</xdr:row>
      <xdr:rowOff>38002</xdr:rowOff>
    </xdr:from>
    <xdr:to>
      <xdr:col>0</xdr:col>
      <xdr:colOff>1879493</xdr:colOff>
      <xdr:row>28</xdr:row>
      <xdr:rowOff>9257</xdr:rowOff>
    </xdr:to>
    <mc:AlternateContent xmlns:mc="http://schemas.openxmlformats.org/markup-compatibility/2006" xmlns:a14="http://schemas.microsoft.com/office/drawing/2010/main">
      <mc:Choice Requires="a14">
        <xdr:graphicFrame macro="">
          <xdr:nvGraphicFramePr>
            <xdr:cNvPr id="5" name="Attendance Type">
              <a:extLst>
                <a:ext uri="{FF2B5EF4-FFF2-40B4-BE49-F238E27FC236}">
                  <a16:creationId xmlns:a16="http://schemas.microsoft.com/office/drawing/2014/main" id="{6A2C2D11-64D3-0324-62EF-C1E2F7051A49}"/>
                </a:ext>
              </a:extLst>
            </xdr:cNvPr>
            <xdr:cNvGraphicFramePr/>
          </xdr:nvGraphicFramePr>
          <xdr:xfrm>
            <a:off x="0" y="0"/>
            <a:ext cx="0" cy="0"/>
          </xdr:xfrm>
          <a:graphic>
            <a:graphicData uri="http://schemas.microsoft.com/office/drawing/2010/slicer">
              <sle:slicer xmlns:sle="http://schemas.microsoft.com/office/drawing/2010/slicer" name="Attendance Type"/>
            </a:graphicData>
          </a:graphic>
        </xdr:graphicFrame>
      </mc:Choice>
      <mc:Fallback xmlns="">
        <xdr:sp macro="" textlink="">
          <xdr:nvSpPr>
            <xdr:cNvPr id="0" name=""/>
            <xdr:cNvSpPr>
              <a:spLocks noTextEdit="1"/>
            </xdr:cNvSpPr>
          </xdr:nvSpPr>
          <xdr:spPr>
            <a:xfrm>
              <a:off x="62387" y="4172973"/>
              <a:ext cx="1817106" cy="1304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1951065</xdr:colOff>
      <xdr:row>21</xdr:row>
      <xdr:rowOff>43118</xdr:rowOff>
    </xdr:from>
    <xdr:to>
      <xdr:col>2</xdr:col>
      <xdr:colOff>514568</xdr:colOff>
      <xdr:row>29</xdr:row>
      <xdr:rowOff>134470</xdr:rowOff>
    </xdr:to>
    <mc:AlternateContent xmlns:mc="http://schemas.openxmlformats.org/markup-compatibility/2006" xmlns:a14="http://schemas.microsoft.com/office/drawing/2010/main">
      <mc:Choice Requires="a14">
        <xdr:graphicFrame macro="">
          <xdr:nvGraphicFramePr>
            <xdr:cNvPr id="6" name="Session Preference">
              <a:extLst>
                <a:ext uri="{FF2B5EF4-FFF2-40B4-BE49-F238E27FC236}">
                  <a16:creationId xmlns:a16="http://schemas.microsoft.com/office/drawing/2014/main" id="{E1EDB408-99CD-DB1B-CEAE-0488D38C0473}"/>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1951065" y="4178089"/>
              <a:ext cx="1813209" cy="1615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545167</xdr:colOff>
      <xdr:row>21</xdr:row>
      <xdr:rowOff>57710</xdr:rowOff>
    </xdr:from>
    <xdr:to>
      <xdr:col>8</xdr:col>
      <xdr:colOff>248211</xdr:colOff>
      <xdr:row>28</xdr:row>
      <xdr:rowOff>95810</xdr:rowOff>
    </xdr:to>
    <mc:AlternateContent xmlns:mc="http://schemas.openxmlformats.org/markup-compatibility/2006" xmlns:tsle="http://schemas.microsoft.com/office/drawing/2012/timeslicer">
      <mc:Choice Requires="tsle">
        <xdr:graphicFrame macro="">
          <xdr:nvGraphicFramePr>
            <xdr:cNvPr id="7" name="Registration Date">
              <a:extLst>
                <a:ext uri="{FF2B5EF4-FFF2-40B4-BE49-F238E27FC236}">
                  <a16:creationId xmlns:a16="http://schemas.microsoft.com/office/drawing/2014/main" id="{29166E43-594E-AF7F-03BD-9610765926A3}"/>
                </a:ext>
              </a:extLst>
            </xdr:cNvPr>
            <xdr:cNvGraphicFramePr/>
          </xdr:nvGraphicFramePr>
          <xdr:xfrm>
            <a:off x="0" y="0"/>
            <a:ext cx="0" cy="0"/>
          </xdr:xfrm>
          <a:graphic>
            <a:graphicData uri="http://schemas.microsoft.com/office/drawing/2012/timeslicer">
              <tsle:timeslicer name="Registration Date"/>
            </a:graphicData>
          </a:graphic>
        </xdr:graphicFrame>
      </mc:Choice>
      <mc:Fallback xmlns="">
        <xdr:sp macro="" textlink="">
          <xdr:nvSpPr>
            <xdr:cNvPr id="0" name=""/>
            <xdr:cNvSpPr>
              <a:spLocks noTextEdit="1"/>
            </xdr:cNvSpPr>
          </xdr:nvSpPr>
          <xdr:spPr>
            <a:xfrm>
              <a:off x="3794873" y="4192681"/>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8</xdr:col>
      <xdr:colOff>336177</xdr:colOff>
      <xdr:row>23</xdr:row>
      <xdr:rowOff>57630</xdr:rowOff>
    </xdr:from>
    <xdr:to>
      <xdr:col>11</xdr:col>
      <xdr:colOff>254534</xdr:colOff>
      <xdr:row>25</xdr:row>
      <xdr:rowOff>112059</xdr:rowOff>
    </xdr:to>
    <xdr:sp macro="[0]!RefreshDashboard" textlink="">
      <xdr:nvSpPr>
        <xdr:cNvPr id="8" name="Rectangle: Rounded Corners 7">
          <a:extLst>
            <a:ext uri="{FF2B5EF4-FFF2-40B4-BE49-F238E27FC236}">
              <a16:creationId xmlns:a16="http://schemas.microsoft.com/office/drawing/2014/main" id="{89A17887-41CB-9CC9-6C53-54E08F06F9FC}"/>
            </a:ext>
          </a:extLst>
        </xdr:cNvPr>
        <xdr:cNvSpPr/>
      </xdr:nvSpPr>
      <xdr:spPr>
        <a:xfrm>
          <a:off x="7216589" y="4573601"/>
          <a:ext cx="1733710" cy="43542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t>Refresh</a:t>
          </a:r>
          <a:r>
            <a:rPr lang="en-US" sz="1400" b="1" baseline="0"/>
            <a:t> Dashboard</a:t>
          </a:r>
          <a:endParaRPr lang="en-US"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49695</xdr:colOff>
      <xdr:row>10</xdr:row>
      <xdr:rowOff>9228</xdr:rowOff>
    </xdr:from>
    <xdr:to>
      <xdr:col>3</xdr:col>
      <xdr:colOff>122119</xdr:colOff>
      <xdr:row>20</xdr:row>
      <xdr:rowOff>53419</xdr:rowOff>
    </xdr:to>
    <xdr:graphicFrame macro="">
      <xdr:nvGraphicFramePr>
        <xdr:cNvPr id="16" name="Chart 15">
          <a:extLst>
            <a:ext uri="{FF2B5EF4-FFF2-40B4-BE49-F238E27FC236}">
              <a16:creationId xmlns:a16="http://schemas.microsoft.com/office/drawing/2014/main" id="{CC27FA92-CC2C-4D10-9641-FDE11DAEB4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218258</xdr:colOff>
      <xdr:row>9</xdr:row>
      <xdr:rowOff>178076</xdr:rowOff>
    </xdr:from>
    <xdr:to>
      <xdr:col>5</xdr:col>
      <xdr:colOff>389283</xdr:colOff>
      <xdr:row>20</xdr:row>
      <xdr:rowOff>78030</xdr:rowOff>
    </xdr:to>
    <xdr:graphicFrame macro="">
      <xdr:nvGraphicFramePr>
        <xdr:cNvPr id="17" name="Chart 16">
          <a:extLst>
            <a:ext uri="{FF2B5EF4-FFF2-40B4-BE49-F238E27FC236}">
              <a16:creationId xmlns:a16="http://schemas.microsoft.com/office/drawing/2014/main" id="{53D59E36-AF9C-4AA1-9226-21653D170D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0</xdr:rowOff>
    </xdr:from>
    <xdr:to>
      <xdr:col>7</xdr:col>
      <xdr:colOff>1266824</xdr:colOff>
      <xdr:row>30</xdr:row>
      <xdr:rowOff>163878</xdr:rowOff>
    </xdr:to>
    <xdr:graphicFrame macro="">
      <xdr:nvGraphicFramePr>
        <xdr:cNvPr id="18" name="Chart 17">
          <a:extLst>
            <a:ext uri="{FF2B5EF4-FFF2-40B4-BE49-F238E27FC236}">
              <a16:creationId xmlns:a16="http://schemas.microsoft.com/office/drawing/2014/main" id="{0015525F-B21E-49AC-ABC0-656829B47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106580</xdr:colOff>
      <xdr:row>31</xdr:row>
      <xdr:rowOff>62317</xdr:rowOff>
    </xdr:from>
    <xdr:to>
      <xdr:col>1</xdr:col>
      <xdr:colOff>561975</xdr:colOff>
      <xdr:row>38</xdr:row>
      <xdr:rowOff>33572</xdr:rowOff>
    </xdr:to>
    <mc:AlternateContent xmlns:mc="http://schemas.openxmlformats.org/markup-compatibility/2006" xmlns:a14="http://schemas.microsoft.com/office/drawing/2010/main">
      <mc:Choice Requires="a14">
        <xdr:graphicFrame macro="">
          <xdr:nvGraphicFramePr>
            <xdr:cNvPr id="19" name="Attendance Type 2">
              <a:extLst>
                <a:ext uri="{FF2B5EF4-FFF2-40B4-BE49-F238E27FC236}">
                  <a16:creationId xmlns:a16="http://schemas.microsoft.com/office/drawing/2014/main" id="{E3EFC911-D862-4E2D-93BE-82E62CBC3562}"/>
                </a:ext>
              </a:extLst>
            </xdr:cNvPr>
            <xdr:cNvGraphicFramePr/>
          </xdr:nvGraphicFramePr>
          <xdr:xfrm>
            <a:off x="0" y="0"/>
            <a:ext cx="0" cy="0"/>
          </xdr:xfrm>
          <a:graphic>
            <a:graphicData uri="http://schemas.microsoft.com/office/drawing/2010/slicer">
              <sle:slicer xmlns:sle="http://schemas.microsoft.com/office/drawing/2010/slicer" name="Attendance Type 2"/>
            </a:graphicData>
          </a:graphic>
        </xdr:graphicFrame>
      </mc:Choice>
      <mc:Fallback xmlns="">
        <xdr:sp macro="" textlink="">
          <xdr:nvSpPr>
            <xdr:cNvPr id="0" name=""/>
            <xdr:cNvSpPr>
              <a:spLocks noTextEdit="1"/>
            </xdr:cNvSpPr>
          </xdr:nvSpPr>
          <xdr:spPr>
            <a:xfrm>
              <a:off x="106580" y="6253567"/>
              <a:ext cx="1969870" cy="1304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762000</xdr:colOff>
      <xdr:row>31</xdr:row>
      <xdr:rowOff>67433</xdr:rowOff>
    </xdr:from>
    <xdr:to>
      <xdr:col>4</xdr:col>
      <xdr:colOff>27042</xdr:colOff>
      <xdr:row>39</xdr:row>
      <xdr:rowOff>158785</xdr:rowOff>
    </xdr:to>
    <mc:AlternateContent xmlns:mc="http://schemas.openxmlformats.org/markup-compatibility/2006" xmlns:a14="http://schemas.microsoft.com/office/drawing/2010/main">
      <mc:Choice Requires="a14">
        <xdr:graphicFrame macro="">
          <xdr:nvGraphicFramePr>
            <xdr:cNvPr id="20" name="Session Preference 2">
              <a:extLst>
                <a:ext uri="{FF2B5EF4-FFF2-40B4-BE49-F238E27FC236}">
                  <a16:creationId xmlns:a16="http://schemas.microsoft.com/office/drawing/2014/main" id="{169A0560-69F6-4017-BDEA-AE36C6A9524C}"/>
                </a:ext>
              </a:extLst>
            </xdr:cNvPr>
            <xdr:cNvGraphicFramePr/>
          </xdr:nvGraphicFramePr>
          <xdr:xfrm>
            <a:off x="0" y="0"/>
            <a:ext cx="0" cy="0"/>
          </xdr:xfrm>
          <a:graphic>
            <a:graphicData uri="http://schemas.microsoft.com/office/drawing/2010/slicer">
              <sle:slicer xmlns:sle="http://schemas.microsoft.com/office/drawing/2010/slicer" name="Session Preference 2"/>
            </a:graphicData>
          </a:graphic>
        </xdr:graphicFrame>
      </mc:Choice>
      <mc:Fallback xmlns="">
        <xdr:sp macro="" textlink="">
          <xdr:nvSpPr>
            <xdr:cNvPr id="0" name=""/>
            <xdr:cNvSpPr>
              <a:spLocks noTextEdit="1"/>
            </xdr:cNvSpPr>
          </xdr:nvSpPr>
          <xdr:spPr>
            <a:xfrm>
              <a:off x="2276475" y="6258683"/>
              <a:ext cx="2055867" cy="1615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314325</xdr:colOff>
      <xdr:row>31</xdr:row>
      <xdr:rowOff>72500</xdr:rowOff>
    </xdr:from>
    <xdr:to>
      <xdr:col>7</xdr:col>
      <xdr:colOff>1006677</xdr:colOff>
      <xdr:row>38</xdr:row>
      <xdr:rowOff>110600</xdr:rowOff>
    </xdr:to>
    <mc:AlternateContent xmlns:mc="http://schemas.openxmlformats.org/markup-compatibility/2006" xmlns:tsle="http://schemas.microsoft.com/office/drawing/2012/timeslicer">
      <mc:Choice Requires="tsle">
        <xdr:graphicFrame macro="">
          <xdr:nvGraphicFramePr>
            <xdr:cNvPr id="21" name="Registration Date 2">
              <a:extLst>
                <a:ext uri="{FF2B5EF4-FFF2-40B4-BE49-F238E27FC236}">
                  <a16:creationId xmlns:a16="http://schemas.microsoft.com/office/drawing/2014/main" id="{78D79166-56F1-4307-89FC-E4FD871E4DC8}"/>
                </a:ext>
              </a:extLst>
            </xdr:cNvPr>
            <xdr:cNvGraphicFramePr/>
          </xdr:nvGraphicFramePr>
          <xdr:xfrm>
            <a:off x="0" y="0"/>
            <a:ext cx="0" cy="0"/>
          </xdr:xfrm>
          <a:graphic>
            <a:graphicData uri="http://schemas.microsoft.com/office/drawing/2012/timeslicer">
              <tsle:timeslicer name="Registration Date 2"/>
            </a:graphicData>
          </a:graphic>
        </xdr:graphicFrame>
      </mc:Choice>
      <mc:Fallback xmlns="">
        <xdr:sp macro="" textlink="">
          <xdr:nvSpPr>
            <xdr:cNvPr id="0" name=""/>
            <xdr:cNvSpPr>
              <a:spLocks noTextEdit="1"/>
            </xdr:cNvSpPr>
          </xdr:nvSpPr>
          <xdr:spPr>
            <a:xfrm>
              <a:off x="4619625" y="6263750"/>
              <a:ext cx="3635577"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6</xdr:col>
      <xdr:colOff>202757</xdr:colOff>
      <xdr:row>17</xdr:row>
      <xdr:rowOff>43845</xdr:rowOff>
    </xdr:from>
    <xdr:to>
      <xdr:col>7</xdr:col>
      <xdr:colOff>822042</xdr:colOff>
      <xdr:row>19</xdr:row>
      <xdr:rowOff>98274</xdr:rowOff>
    </xdr:to>
    <xdr:sp macro="[0]!RefreshDashboard" textlink="">
      <xdr:nvSpPr>
        <xdr:cNvPr id="22" name="Rectangle: Rounded Corners 21">
          <a:extLst>
            <a:ext uri="{FF2B5EF4-FFF2-40B4-BE49-F238E27FC236}">
              <a16:creationId xmlns:a16="http://schemas.microsoft.com/office/drawing/2014/main" id="{276DFAAB-4D00-40EA-B1BE-D54F04C8EBAD}"/>
            </a:ext>
          </a:extLst>
        </xdr:cNvPr>
        <xdr:cNvSpPr/>
      </xdr:nvSpPr>
      <xdr:spPr>
        <a:xfrm>
          <a:off x="6336857" y="3568095"/>
          <a:ext cx="1733710" cy="43542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b="1"/>
            <a:t>Refresh</a:t>
          </a:r>
          <a:r>
            <a:rPr lang="en-US" sz="1400" b="1" baseline="0"/>
            <a:t> Dashboard</a:t>
          </a:r>
          <a:endParaRPr lang="en-US" sz="14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elyn" refreshedDate="46081.943252199075" createdVersion="8" refreshedVersion="8" minRefreshableVersion="3" recordCount="112" xr:uid="{26F94553-FAB7-4744-BC26-FF6AC2BA826B}">
  <cacheSource type="worksheet">
    <worksheetSource ref="A1:H1048576" sheet="Database"/>
  </cacheSource>
  <cacheFields count="11">
    <cacheField name="ID" numFmtId="0">
      <sharedItems containsBlank="1"/>
    </cacheField>
    <cacheField name="Name" numFmtId="0">
      <sharedItems containsBlank="1"/>
    </cacheField>
    <cacheField name="Email" numFmtId="0">
      <sharedItems containsBlank="1"/>
    </cacheField>
    <cacheField name="Phone Number" numFmtId="0">
      <sharedItems containsBlank="1"/>
    </cacheField>
    <cacheField name="Attendance Type" numFmtId="0">
      <sharedItems containsBlank="1" count="3">
        <s v="Online"/>
        <s v="In-Person"/>
        <m/>
      </sharedItems>
    </cacheField>
    <cacheField name="Session Preference" numFmtId="0">
      <sharedItems containsBlank="1" count="4">
        <s v="Data Analytics"/>
        <s v="Artificial Intelligence"/>
        <s v="Cybersecurity"/>
        <m/>
      </sharedItems>
    </cacheField>
    <cacheField name="Ticket Price (€)" numFmtId="0">
      <sharedItems containsString="0" containsBlank="1" containsNumber="1" containsInteger="1" minValue="300" maxValue="700"/>
    </cacheField>
    <cacheField name="Registration Date" numFmtId="0">
      <sharedItems containsNonDate="0" containsDate="1" containsString="0" containsBlank="1" minDate="2022-11-13T00:00:00" maxDate="2024-11-10T00:00:00" count="96">
        <d v="2022-11-13T00:00:00"/>
        <d v="2022-12-14T00:00:00"/>
        <d v="2022-12-20T00:00:00"/>
        <d v="2022-12-26T00:00:00"/>
        <d v="2022-12-31T00:00:00"/>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m/>
      </sharedItems>
      <fieldGroup par="10"/>
    </cacheField>
    <cacheField name="Months (Registration Date)" numFmtId="0" databaseField="0">
      <fieldGroup base="7">
        <rangePr groupBy="months" startDate="2022-11-13T00:00:00" endDate="2024-11-10T00:00:00"/>
        <groupItems count="14">
          <s v="&lt;11/13/2022"/>
          <s v="Jan"/>
          <s v="Feb"/>
          <s v="Mar"/>
          <s v="Apr"/>
          <s v="May"/>
          <s v="Jun"/>
          <s v="Jul"/>
          <s v="Aug"/>
          <s v="Sep"/>
          <s v="Oct"/>
          <s v="Nov"/>
          <s v="Dec"/>
          <s v="&gt;11/10/2024"/>
        </groupItems>
      </fieldGroup>
    </cacheField>
    <cacheField name="Quarters (Registration Date)" numFmtId="0" databaseField="0">
      <fieldGroup base="7">
        <rangePr groupBy="quarters" startDate="2022-11-13T00:00:00" endDate="2024-11-10T00:00:00"/>
        <groupItems count="6">
          <s v="&lt;11/13/2022"/>
          <s v="Qtr1"/>
          <s v="Qtr2"/>
          <s v="Qtr3"/>
          <s v="Qtr4"/>
          <s v="&gt;11/10/2024"/>
        </groupItems>
      </fieldGroup>
    </cacheField>
    <cacheField name="Years (Registration Date)" numFmtId="0" databaseField="0">
      <fieldGroup base="7">
        <rangePr groupBy="years" startDate="2022-11-13T00:00:00" endDate="2024-11-10T00:00:00"/>
        <groupItems count="5">
          <s v="&lt;11/13/2022"/>
          <s v="2022"/>
          <s v="2023"/>
          <s v="2024"/>
          <s v="&gt;11/10/2024"/>
        </groupItems>
      </fieldGroup>
    </cacheField>
  </cacheFields>
  <extLst>
    <ext xmlns:x14="http://schemas.microsoft.com/office/spreadsheetml/2009/9/main" uri="{725AE2AE-9491-48be-B2B4-4EB974FC3084}">
      <x14:pivotCacheDefinition pivotCacheId="10271655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elyn" refreshedDate="46081.943252546298" createdVersion="8" refreshedVersion="8" minRefreshableVersion="3" recordCount="100" xr:uid="{8A905430-A72A-4553-8711-ED0BA5D28AD4}">
  <cacheSource type="worksheet">
    <worksheetSource ref="A1:H101" sheet="Database"/>
  </cacheSource>
  <cacheFields count="11">
    <cacheField name="ID" numFmtId="0">
      <sharedItems/>
    </cacheField>
    <cacheField name="Name" numFmtId="0">
      <sharedItems/>
    </cacheField>
    <cacheField name="Email" numFmtId="0">
      <sharedItems/>
    </cacheField>
    <cacheField name="Phone Number" numFmtId="0">
      <sharedItems/>
    </cacheField>
    <cacheField name="Attendance Type" numFmtId="0">
      <sharedItems/>
    </cacheField>
    <cacheField name="Session Preference" numFmtId="0">
      <sharedItems/>
    </cacheField>
    <cacheField name="Ticket Price (€)" numFmtId="0">
      <sharedItems containsSemiMixedTypes="0" containsString="0" containsNumber="1" containsInteger="1" minValue="300" maxValue="700"/>
    </cacheField>
    <cacheField name="Registration Date" numFmtId="164">
      <sharedItems containsSemiMixedTypes="0" containsNonDate="0" containsDate="1" containsString="0" minDate="2022-11-13T00:00:00" maxDate="2024-11-10T00:00:00" count="95">
        <d v="2022-11-13T00:00:00"/>
        <d v="2022-12-14T00:00:00"/>
        <d v="2022-12-20T00:00:00"/>
        <d v="2022-12-26T00:00:00"/>
        <d v="2022-12-31T00:00:00"/>
        <d v="2023-01-11T00:00:00"/>
        <d v="2023-01-15T00:00:00"/>
        <d v="2023-01-17T00:00:00"/>
        <d v="2023-02-05T00:00:00"/>
        <d v="2023-02-09T00:00:00"/>
        <d v="2023-02-14T00:00:00"/>
        <d v="2023-02-18T00:00:00"/>
        <d v="2023-02-19T00:00:00"/>
        <d v="2023-02-21T00:00:00"/>
        <d v="2023-02-22T00:00:00"/>
        <d v="2023-02-25T00:00:00"/>
        <d v="2023-03-14T00:00:00"/>
        <d v="2023-04-03T00:00:00"/>
        <d v="2023-04-10T00:00:00"/>
        <d v="2023-04-12T00:00:00"/>
        <d v="2023-04-20T00:00:00"/>
        <d v="2023-04-24T00:00:00"/>
        <d v="2023-04-25T00:00:00"/>
        <d v="2023-05-02T00:00:00"/>
        <d v="2023-05-25T00:00:00"/>
        <d v="2023-05-26T00:00:00"/>
        <d v="2023-06-17T00:00:00"/>
        <d v="2023-06-24T00:00:00"/>
        <d v="2023-07-06T00:00:00"/>
        <d v="2023-07-07T00:00:00"/>
        <d v="2023-07-24T00:00:00"/>
        <d v="2023-07-26T00:00:00"/>
        <d v="2023-07-31T00:00:00"/>
        <d v="2023-08-04T00:00:00"/>
        <d v="2023-08-17T00:00:00"/>
        <d v="2023-09-09T00:00:00"/>
        <d v="2023-09-11T00:00:00"/>
        <d v="2023-09-30T00:00:00"/>
        <d v="2023-10-14T00:00:00"/>
        <d v="2023-10-16T00:00:00"/>
        <d v="2023-10-25T00:00:00"/>
        <d v="2023-10-31T00:00:00"/>
        <d v="2023-11-03T00:00:00"/>
        <d v="2023-11-30T00:00:00"/>
        <d v="2023-12-03T00:00:00"/>
        <d v="2023-12-09T00:00:00"/>
        <d v="2024-01-08T00:00:00"/>
        <d v="2024-01-16T00:00:00"/>
        <d v="2024-01-22T00:00:00"/>
        <d v="2024-01-24T00:00:00"/>
        <d v="2024-01-31T00:00:00"/>
        <d v="2024-02-08T00:00:00"/>
        <d v="2024-02-09T00:00:00"/>
        <d v="2024-02-11T00:00:00"/>
        <d v="2024-02-16T00:00:00"/>
        <d v="2024-02-21T00:00:00"/>
        <d v="2024-02-23T00:00:00"/>
        <d v="2024-02-27T00:00:00"/>
        <d v="2024-02-28T00:00:00"/>
        <d v="2024-03-02T00:00:00"/>
        <d v="2024-03-17T00:00:00"/>
        <d v="2024-03-22T00:00:00"/>
        <d v="2024-03-24T00:00:00"/>
        <d v="2024-04-09T00:00:00"/>
        <d v="2024-04-17T00:00:00"/>
        <d v="2024-04-28T00:00:00"/>
        <d v="2024-05-04T00:00:00"/>
        <d v="2024-05-13T00:00:00"/>
        <d v="2024-05-25T00:00:00"/>
        <d v="2024-06-13T00:00:00"/>
        <d v="2024-06-16T00:00:00"/>
        <d v="2024-06-18T00:00:00"/>
        <d v="2024-06-23T00:00:00"/>
        <d v="2024-06-27T00:00:00"/>
        <d v="2024-06-28T00:00:00"/>
        <d v="2024-07-01T00:00:00"/>
        <d v="2024-07-03T00:00:00"/>
        <d v="2024-07-11T00:00:00"/>
        <d v="2024-08-02T00:00:00"/>
        <d v="2024-08-09T00:00:00"/>
        <d v="2024-08-14T00:00:00"/>
        <d v="2024-08-22T00:00:00"/>
        <d v="2024-08-26T00:00:00"/>
        <d v="2024-08-29T00:00:00"/>
        <d v="2024-08-30T00:00:00"/>
        <d v="2024-09-25T00:00:00"/>
        <d v="2024-09-27T00:00:00"/>
        <d v="2024-10-01T00:00:00"/>
        <d v="2024-10-06T00:00:00"/>
        <d v="2024-10-16T00:00:00"/>
        <d v="2024-10-23T00:00:00"/>
        <d v="2024-10-25T00:00:00"/>
        <d v="2024-10-28T00:00:00"/>
        <d v="2024-11-02T00:00:00"/>
        <d v="2024-11-09T00:00:00"/>
      </sharedItems>
      <fieldGroup par="10"/>
    </cacheField>
    <cacheField name="Months (Registration Date)" numFmtId="0" databaseField="0">
      <fieldGroup base="7">
        <rangePr groupBy="months" startDate="2022-11-13T00:00:00" endDate="2024-11-10T00:00:00"/>
        <groupItems count="14">
          <s v="&lt;11/13/2022"/>
          <s v="Jan"/>
          <s v="Feb"/>
          <s v="Mar"/>
          <s v="Apr"/>
          <s v="May"/>
          <s v="Jun"/>
          <s v="Jul"/>
          <s v="Aug"/>
          <s v="Sep"/>
          <s v="Oct"/>
          <s v="Nov"/>
          <s v="Dec"/>
          <s v="&gt;11/10/2024"/>
        </groupItems>
      </fieldGroup>
    </cacheField>
    <cacheField name="Quarters (Registration Date)" numFmtId="0" databaseField="0">
      <fieldGroup base="7">
        <rangePr groupBy="quarters" startDate="2022-11-13T00:00:00" endDate="2024-11-10T00:00:00"/>
        <groupItems count="6">
          <s v="&lt;11/13/2022"/>
          <s v="Qtr1"/>
          <s v="Qtr2"/>
          <s v="Qtr3"/>
          <s v="Qtr4"/>
          <s v="&gt;11/10/2024"/>
        </groupItems>
      </fieldGroup>
    </cacheField>
    <cacheField name="Years (Registration Date)" numFmtId="0" databaseField="0">
      <fieldGroup base="7">
        <rangePr groupBy="years" startDate="2022-11-13T00:00:00" endDate="2024-11-10T00:00:00"/>
        <groupItems count="5">
          <s v="&lt;11/13/2022"/>
          <s v="2022"/>
          <s v="2023"/>
          <s v="2024"/>
          <s v="&gt;11/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s v="A001"/>
    <s v="Participant 1"/>
    <s v="Participant1@example.com"/>
    <s v="555-0001"/>
    <x v="0"/>
    <x v="0"/>
    <n v="450"/>
    <x v="0"/>
  </r>
  <r>
    <s v="A002"/>
    <s v="Participant 2"/>
    <s v="Participant2@example.com"/>
    <s v="555-0002"/>
    <x v="1"/>
    <x v="0"/>
    <n v="450"/>
    <x v="1"/>
  </r>
  <r>
    <s v="A003"/>
    <s v="Participant 3"/>
    <s v="Participant3@example.com"/>
    <s v="555-0003"/>
    <x v="0"/>
    <x v="1"/>
    <n v="700"/>
    <x v="2"/>
  </r>
  <r>
    <s v="A004"/>
    <s v="Participant 4"/>
    <s v="Participant4@example.com"/>
    <s v="555-0004"/>
    <x v="1"/>
    <x v="2"/>
    <n v="300"/>
    <x v="3"/>
  </r>
  <r>
    <s v="A005"/>
    <s v="Participant 5"/>
    <s v="Participant5@example.com"/>
    <s v="555-0005"/>
    <x v="0"/>
    <x v="0"/>
    <n v="450"/>
    <x v="4"/>
  </r>
  <r>
    <s v="A006"/>
    <s v="Participant 6"/>
    <s v="Participant6@example.com"/>
    <s v="555-0006"/>
    <x v="1"/>
    <x v="1"/>
    <n v="700"/>
    <x v="5"/>
  </r>
  <r>
    <s v="A007"/>
    <s v="Participant 7"/>
    <s v="Participant7@example.com"/>
    <s v="555-0007"/>
    <x v="0"/>
    <x v="2"/>
    <n v="300"/>
    <x v="6"/>
  </r>
  <r>
    <s v="A008"/>
    <s v="Participant 8"/>
    <s v="Participant8@example.com"/>
    <s v="555-0008"/>
    <x v="1"/>
    <x v="0"/>
    <n v="450"/>
    <x v="7"/>
  </r>
  <r>
    <s v="A009"/>
    <s v="Participant 9"/>
    <s v="Participant9@example.com"/>
    <s v="555-0009"/>
    <x v="0"/>
    <x v="1"/>
    <n v="700"/>
    <x v="8"/>
  </r>
  <r>
    <s v="A010"/>
    <s v="Participant 10"/>
    <s v="Participant10@example.com"/>
    <s v="555-0010"/>
    <x v="1"/>
    <x v="2"/>
    <n v="300"/>
    <x v="9"/>
  </r>
  <r>
    <s v="A011"/>
    <s v="Participant 11"/>
    <s v="Participant11@example.com"/>
    <s v="555-0011"/>
    <x v="0"/>
    <x v="0"/>
    <n v="450"/>
    <x v="10"/>
  </r>
  <r>
    <s v="A012"/>
    <s v="Participant 12"/>
    <s v="Participant12@example.com"/>
    <s v="555-0012"/>
    <x v="1"/>
    <x v="1"/>
    <n v="700"/>
    <x v="11"/>
  </r>
  <r>
    <s v="A013"/>
    <s v="Participant 13"/>
    <s v="Participant13@example.com"/>
    <s v="555-0013"/>
    <x v="0"/>
    <x v="2"/>
    <n v="300"/>
    <x v="12"/>
  </r>
  <r>
    <s v="A014"/>
    <s v="Participant 14"/>
    <s v="Participant14@example.com"/>
    <s v="555-0014"/>
    <x v="1"/>
    <x v="0"/>
    <n v="450"/>
    <x v="13"/>
  </r>
  <r>
    <s v="A015"/>
    <s v="Participant 15"/>
    <s v="Participant15@example.com"/>
    <s v="555-0015"/>
    <x v="0"/>
    <x v="1"/>
    <n v="700"/>
    <x v="14"/>
  </r>
  <r>
    <s v="A016"/>
    <s v="Participant 16"/>
    <s v="Participant16@example.com"/>
    <s v="555-0016"/>
    <x v="1"/>
    <x v="2"/>
    <n v="300"/>
    <x v="15"/>
  </r>
  <r>
    <s v="A017"/>
    <s v="Participant 17"/>
    <s v="Participant17@example.com"/>
    <s v="555-0017"/>
    <x v="0"/>
    <x v="0"/>
    <n v="450"/>
    <x v="16"/>
  </r>
  <r>
    <s v="A018"/>
    <s v="Participant 18"/>
    <s v="Participant18@example.com"/>
    <s v="555-0018"/>
    <x v="1"/>
    <x v="1"/>
    <n v="700"/>
    <x v="17"/>
  </r>
  <r>
    <s v="A019"/>
    <s v="Participant 19"/>
    <s v="Participant19@example.com"/>
    <s v="555-0019"/>
    <x v="0"/>
    <x v="2"/>
    <n v="300"/>
    <x v="18"/>
  </r>
  <r>
    <s v="A020"/>
    <s v="Participant 20"/>
    <s v="Participant20@example.com"/>
    <s v="555-0020"/>
    <x v="1"/>
    <x v="0"/>
    <n v="450"/>
    <x v="19"/>
  </r>
  <r>
    <s v="A021"/>
    <s v="Participant 21"/>
    <s v="Participant21@example.com"/>
    <s v="555-0021"/>
    <x v="0"/>
    <x v="1"/>
    <n v="700"/>
    <x v="20"/>
  </r>
  <r>
    <s v="A022"/>
    <s v="Participant 22"/>
    <s v="Participant22@example.com"/>
    <s v="555-0022"/>
    <x v="1"/>
    <x v="2"/>
    <n v="300"/>
    <x v="21"/>
  </r>
  <r>
    <s v="A023"/>
    <s v="Participant 23"/>
    <s v="Participant23@example.com"/>
    <s v="555-0023"/>
    <x v="0"/>
    <x v="0"/>
    <n v="450"/>
    <x v="22"/>
  </r>
  <r>
    <s v="A024"/>
    <s v="Participant 24"/>
    <s v="Participant24@example.com"/>
    <s v="555-0024"/>
    <x v="1"/>
    <x v="1"/>
    <n v="700"/>
    <x v="23"/>
  </r>
  <r>
    <s v="A025"/>
    <s v="Participant 25"/>
    <s v="Participant25@example.com"/>
    <s v="555-0025"/>
    <x v="0"/>
    <x v="2"/>
    <n v="300"/>
    <x v="24"/>
  </r>
  <r>
    <s v="A026"/>
    <s v="Participant 26"/>
    <s v="Participant26@example.com"/>
    <s v="555-0026"/>
    <x v="1"/>
    <x v="0"/>
    <n v="450"/>
    <x v="25"/>
  </r>
  <r>
    <s v="A027"/>
    <s v="Participant 27"/>
    <s v="Participant27@example.com"/>
    <s v="555-0027"/>
    <x v="0"/>
    <x v="1"/>
    <n v="700"/>
    <x v="26"/>
  </r>
  <r>
    <s v="A028"/>
    <s v="Participant 28"/>
    <s v="Participant28@example.com"/>
    <s v="555-0028"/>
    <x v="1"/>
    <x v="2"/>
    <n v="300"/>
    <x v="27"/>
  </r>
  <r>
    <s v="A029"/>
    <s v="Participant 29"/>
    <s v="Participant29@example.com"/>
    <s v="555-0029"/>
    <x v="0"/>
    <x v="0"/>
    <n v="450"/>
    <x v="28"/>
  </r>
  <r>
    <s v="A030"/>
    <s v="Participant 30"/>
    <s v="Participant30@example.com"/>
    <s v="555-0030"/>
    <x v="1"/>
    <x v="1"/>
    <n v="700"/>
    <x v="29"/>
  </r>
  <r>
    <s v="A031"/>
    <s v="Participant 31"/>
    <s v="Participant31@example.com"/>
    <s v="555-0031"/>
    <x v="0"/>
    <x v="2"/>
    <n v="300"/>
    <x v="30"/>
  </r>
  <r>
    <s v="A032"/>
    <s v="Participant 32"/>
    <s v="Participant32@example.com"/>
    <s v="555-0032"/>
    <x v="1"/>
    <x v="0"/>
    <n v="450"/>
    <x v="31"/>
  </r>
  <r>
    <s v="A033"/>
    <s v="Participant 33"/>
    <s v="Participant33@example.com"/>
    <s v="555-0033"/>
    <x v="0"/>
    <x v="1"/>
    <n v="700"/>
    <x v="32"/>
  </r>
  <r>
    <s v="A034"/>
    <s v="Participant 34"/>
    <s v="Participant34@example.com"/>
    <s v="555-0034"/>
    <x v="1"/>
    <x v="2"/>
    <n v="300"/>
    <x v="33"/>
  </r>
  <r>
    <s v="A035"/>
    <s v="Participant 35"/>
    <s v="Participant35@example.com"/>
    <s v="555-0035"/>
    <x v="0"/>
    <x v="0"/>
    <n v="450"/>
    <x v="34"/>
  </r>
  <r>
    <s v="A036"/>
    <s v="Participant 36"/>
    <s v="Participant36@example.com"/>
    <s v="555-0036"/>
    <x v="1"/>
    <x v="1"/>
    <n v="700"/>
    <x v="34"/>
  </r>
  <r>
    <s v="A037"/>
    <s v="Participant 37"/>
    <s v="Participant37@example.com"/>
    <s v="555-0037"/>
    <x v="0"/>
    <x v="2"/>
    <n v="300"/>
    <x v="35"/>
  </r>
  <r>
    <s v="A038"/>
    <s v="Participant 38"/>
    <s v="Participant38@example.com"/>
    <s v="555-0038"/>
    <x v="1"/>
    <x v="0"/>
    <n v="450"/>
    <x v="36"/>
  </r>
  <r>
    <s v="A039"/>
    <s v="Participant 39"/>
    <s v="Participant39@example.com"/>
    <s v="555-0039"/>
    <x v="0"/>
    <x v="1"/>
    <n v="700"/>
    <x v="37"/>
  </r>
  <r>
    <s v="A040"/>
    <s v="Participant 40"/>
    <s v="Participant40@example.com"/>
    <s v="555-0040"/>
    <x v="1"/>
    <x v="2"/>
    <n v="300"/>
    <x v="38"/>
  </r>
  <r>
    <s v="A041"/>
    <s v="Participant 41"/>
    <s v="Participant41@example.com"/>
    <s v="555-0041"/>
    <x v="0"/>
    <x v="0"/>
    <n v="450"/>
    <x v="39"/>
  </r>
  <r>
    <s v="A042"/>
    <s v="Participant 42"/>
    <s v="Participant42@example.com"/>
    <s v="555-0042"/>
    <x v="1"/>
    <x v="1"/>
    <n v="700"/>
    <x v="40"/>
  </r>
  <r>
    <s v="A043"/>
    <s v="Participant 43"/>
    <s v="Participant43@example.com"/>
    <s v="555-0043"/>
    <x v="0"/>
    <x v="2"/>
    <n v="300"/>
    <x v="41"/>
  </r>
  <r>
    <s v="A044"/>
    <s v="Participant 44"/>
    <s v="Participant44@example.com"/>
    <s v="555-0044"/>
    <x v="1"/>
    <x v="0"/>
    <n v="450"/>
    <x v="42"/>
  </r>
  <r>
    <s v="A045"/>
    <s v="Participant 45"/>
    <s v="Participant45@example.com"/>
    <s v="555-0045"/>
    <x v="0"/>
    <x v="1"/>
    <n v="700"/>
    <x v="43"/>
  </r>
  <r>
    <s v="A046"/>
    <s v="Participant 46"/>
    <s v="Participant46@example.com"/>
    <s v="555-0046"/>
    <x v="1"/>
    <x v="2"/>
    <n v="300"/>
    <x v="44"/>
  </r>
  <r>
    <s v="A047"/>
    <s v="Participant 47"/>
    <s v="Participant47@example.com"/>
    <s v="555-0047"/>
    <x v="0"/>
    <x v="0"/>
    <n v="450"/>
    <x v="45"/>
  </r>
  <r>
    <s v="A048"/>
    <s v="Participant 48"/>
    <s v="Participant48@example.com"/>
    <s v="555-0048"/>
    <x v="1"/>
    <x v="1"/>
    <n v="700"/>
    <x v="46"/>
  </r>
  <r>
    <s v="A049"/>
    <s v="Participant 49"/>
    <s v="Participant49@example.com"/>
    <s v="555-0049"/>
    <x v="0"/>
    <x v="2"/>
    <n v="300"/>
    <x v="47"/>
  </r>
  <r>
    <s v="A050"/>
    <s v="Participant 50"/>
    <s v="Participant50@example.com"/>
    <s v="555-0050"/>
    <x v="1"/>
    <x v="0"/>
    <n v="450"/>
    <x v="48"/>
  </r>
  <r>
    <s v="A051"/>
    <s v="Participant 51"/>
    <s v="Participant51@example.com"/>
    <s v="555-0051"/>
    <x v="0"/>
    <x v="1"/>
    <n v="700"/>
    <x v="48"/>
  </r>
  <r>
    <s v="A052"/>
    <s v="Participant 52"/>
    <s v="Participant52@example.com"/>
    <s v="555-0052"/>
    <x v="1"/>
    <x v="2"/>
    <n v="300"/>
    <x v="49"/>
  </r>
  <r>
    <s v="A053"/>
    <s v="Participant 53"/>
    <s v="Participant53@example.com"/>
    <s v="555-0053"/>
    <x v="0"/>
    <x v="0"/>
    <n v="450"/>
    <x v="50"/>
  </r>
  <r>
    <s v="A054"/>
    <s v="Participant 54"/>
    <s v="Participant54@example.com"/>
    <s v="555-0054"/>
    <x v="1"/>
    <x v="1"/>
    <n v="700"/>
    <x v="50"/>
  </r>
  <r>
    <s v="A055"/>
    <s v="Participant 55"/>
    <s v="Participant55@example.com"/>
    <s v="555-0055"/>
    <x v="0"/>
    <x v="2"/>
    <n v="300"/>
    <x v="51"/>
  </r>
  <r>
    <s v="A056"/>
    <s v="Participant 56"/>
    <s v="Participant56@example.com"/>
    <s v="555-0056"/>
    <x v="1"/>
    <x v="0"/>
    <n v="450"/>
    <x v="52"/>
  </r>
  <r>
    <s v="A057"/>
    <s v="Participant 57"/>
    <s v="Participant57@example.com"/>
    <s v="555-0057"/>
    <x v="0"/>
    <x v="1"/>
    <n v="700"/>
    <x v="53"/>
  </r>
  <r>
    <s v="A058"/>
    <s v="Participant 58"/>
    <s v="Participant58@example.com"/>
    <s v="555-0058"/>
    <x v="1"/>
    <x v="2"/>
    <n v="300"/>
    <x v="54"/>
  </r>
  <r>
    <s v="A059"/>
    <s v="Participant 59"/>
    <s v="Participant59@example.com"/>
    <s v="555-0059"/>
    <x v="0"/>
    <x v="0"/>
    <n v="450"/>
    <x v="55"/>
  </r>
  <r>
    <s v="A060"/>
    <s v="Participant 60"/>
    <s v="Participant60@example.com"/>
    <s v="555-0060"/>
    <x v="1"/>
    <x v="1"/>
    <n v="700"/>
    <x v="56"/>
  </r>
  <r>
    <s v="A061"/>
    <s v="Participant 61"/>
    <s v="Participant61@example.com"/>
    <s v="555-0061"/>
    <x v="0"/>
    <x v="2"/>
    <n v="300"/>
    <x v="57"/>
  </r>
  <r>
    <s v="A062"/>
    <s v="Participant 62"/>
    <s v="Participant62@example.com"/>
    <s v="555-0062"/>
    <x v="1"/>
    <x v="0"/>
    <n v="450"/>
    <x v="58"/>
  </r>
  <r>
    <s v="A063"/>
    <s v="Participant 63"/>
    <s v="Participant63@example.com"/>
    <s v="555-0063"/>
    <x v="0"/>
    <x v="1"/>
    <n v="700"/>
    <x v="58"/>
  </r>
  <r>
    <s v="A064"/>
    <s v="Participant 64"/>
    <s v="Participant64@example.com"/>
    <s v="555-0064"/>
    <x v="1"/>
    <x v="2"/>
    <n v="300"/>
    <x v="59"/>
  </r>
  <r>
    <s v="A065"/>
    <s v="Participant 65"/>
    <s v="Participant65@example.com"/>
    <s v="555-0065"/>
    <x v="0"/>
    <x v="0"/>
    <n v="450"/>
    <x v="59"/>
  </r>
  <r>
    <s v="A066"/>
    <s v="Participant 66"/>
    <s v="Participant66@example.com"/>
    <s v="555-0066"/>
    <x v="1"/>
    <x v="1"/>
    <n v="700"/>
    <x v="60"/>
  </r>
  <r>
    <s v="A067"/>
    <s v="Participant 67"/>
    <s v="Participant67@example.com"/>
    <s v="555-0067"/>
    <x v="0"/>
    <x v="2"/>
    <n v="300"/>
    <x v="61"/>
  </r>
  <r>
    <s v="A068"/>
    <s v="Participant 68"/>
    <s v="Participant68@example.com"/>
    <s v="555-0068"/>
    <x v="1"/>
    <x v="0"/>
    <n v="450"/>
    <x v="62"/>
  </r>
  <r>
    <s v="A069"/>
    <s v="Participant 69"/>
    <s v="Participant69@example.com"/>
    <s v="555-0069"/>
    <x v="0"/>
    <x v="1"/>
    <n v="700"/>
    <x v="63"/>
  </r>
  <r>
    <s v="A070"/>
    <s v="Participant 70"/>
    <s v="Participant70@example.com"/>
    <s v="555-0070"/>
    <x v="1"/>
    <x v="2"/>
    <n v="300"/>
    <x v="64"/>
  </r>
  <r>
    <s v="A071"/>
    <s v="Participant 71"/>
    <s v="Participant71@example.com"/>
    <s v="555-0071"/>
    <x v="0"/>
    <x v="0"/>
    <n v="450"/>
    <x v="65"/>
  </r>
  <r>
    <s v="A072"/>
    <s v="Participant 72"/>
    <s v="Participant72@example.com"/>
    <s v="555-0072"/>
    <x v="1"/>
    <x v="1"/>
    <n v="700"/>
    <x v="66"/>
  </r>
  <r>
    <s v="A073"/>
    <s v="Participant 73"/>
    <s v="Participant73@example.com"/>
    <s v="555-0073"/>
    <x v="0"/>
    <x v="2"/>
    <n v="300"/>
    <x v="67"/>
  </r>
  <r>
    <s v="A074"/>
    <s v="Participant 74"/>
    <s v="Participant74@example.com"/>
    <s v="555-0074"/>
    <x v="1"/>
    <x v="0"/>
    <n v="450"/>
    <x v="68"/>
  </r>
  <r>
    <s v="A075"/>
    <s v="Participant 75"/>
    <s v="Participant75@example.com"/>
    <s v="555-0075"/>
    <x v="0"/>
    <x v="1"/>
    <n v="700"/>
    <x v="69"/>
  </r>
  <r>
    <s v="A076"/>
    <s v="Participant 76"/>
    <s v="Participant76@example.com"/>
    <s v="555-0076"/>
    <x v="1"/>
    <x v="2"/>
    <n v="300"/>
    <x v="70"/>
  </r>
  <r>
    <s v="A077"/>
    <s v="Participant 77"/>
    <s v="Participant77@example.com"/>
    <s v="555-0077"/>
    <x v="0"/>
    <x v="0"/>
    <n v="450"/>
    <x v="71"/>
  </r>
  <r>
    <s v="A078"/>
    <s v="Participant 78"/>
    <s v="Participant78@example.com"/>
    <s v="555-0078"/>
    <x v="1"/>
    <x v="1"/>
    <n v="700"/>
    <x v="72"/>
  </r>
  <r>
    <s v="A079"/>
    <s v="Participant 79"/>
    <s v="Participant79@example.com"/>
    <s v="555-0079"/>
    <x v="0"/>
    <x v="2"/>
    <n v="300"/>
    <x v="73"/>
  </r>
  <r>
    <s v="A080"/>
    <s v="Participant 80"/>
    <s v="Participant80@example.com"/>
    <s v="555-0080"/>
    <x v="1"/>
    <x v="0"/>
    <n v="450"/>
    <x v="74"/>
  </r>
  <r>
    <s v="A081"/>
    <s v="Participant 81"/>
    <s v="Participant81@example.com"/>
    <s v="555-0081"/>
    <x v="0"/>
    <x v="1"/>
    <n v="700"/>
    <x v="75"/>
  </r>
  <r>
    <s v="A082"/>
    <s v="Participant 82"/>
    <s v="Participant82@example.com"/>
    <s v="555-0082"/>
    <x v="1"/>
    <x v="2"/>
    <n v="300"/>
    <x v="76"/>
  </r>
  <r>
    <s v="A083"/>
    <s v="Participant 83"/>
    <s v="Participant83@example.com"/>
    <s v="555-0083"/>
    <x v="0"/>
    <x v="0"/>
    <n v="450"/>
    <x v="77"/>
  </r>
  <r>
    <s v="A084"/>
    <s v="Participant 84"/>
    <s v="Participant84@example.com"/>
    <s v="555-0084"/>
    <x v="1"/>
    <x v="1"/>
    <n v="700"/>
    <x v="78"/>
  </r>
  <r>
    <s v="A085"/>
    <s v="Participant 85"/>
    <s v="Participant85@example.com"/>
    <s v="555-0085"/>
    <x v="0"/>
    <x v="2"/>
    <n v="300"/>
    <x v="79"/>
  </r>
  <r>
    <s v="A086"/>
    <s v="Participant 86"/>
    <s v="Participant86@example.com"/>
    <s v="555-0086"/>
    <x v="1"/>
    <x v="0"/>
    <n v="450"/>
    <x v="80"/>
  </r>
  <r>
    <s v="A087"/>
    <s v="Participant 87"/>
    <s v="Participant87@example.com"/>
    <s v="555-0087"/>
    <x v="0"/>
    <x v="1"/>
    <n v="700"/>
    <x v="81"/>
  </r>
  <r>
    <s v="A088"/>
    <s v="Participant 88"/>
    <s v="Participant88@example.com"/>
    <s v="555-0088"/>
    <x v="1"/>
    <x v="2"/>
    <n v="300"/>
    <x v="82"/>
  </r>
  <r>
    <s v="A089"/>
    <s v="Participant 89"/>
    <s v="Participant89@example.com"/>
    <s v="555-0089"/>
    <x v="0"/>
    <x v="0"/>
    <n v="450"/>
    <x v="83"/>
  </r>
  <r>
    <s v="A090"/>
    <s v="Participant 90"/>
    <s v="Participant90@example.com"/>
    <s v="555-0090"/>
    <x v="1"/>
    <x v="1"/>
    <n v="700"/>
    <x v="84"/>
  </r>
  <r>
    <s v="A091"/>
    <s v="Participant 91"/>
    <s v="Participant91@example.com"/>
    <s v="555-0091"/>
    <x v="0"/>
    <x v="2"/>
    <n v="300"/>
    <x v="85"/>
  </r>
  <r>
    <s v="A092"/>
    <s v="Participant 92"/>
    <s v="Participant92@example.com"/>
    <s v="555-0092"/>
    <x v="1"/>
    <x v="0"/>
    <n v="450"/>
    <x v="86"/>
  </r>
  <r>
    <s v="A093"/>
    <s v="Participant 93"/>
    <s v="Participant93@example.com"/>
    <s v="555-0093"/>
    <x v="0"/>
    <x v="1"/>
    <n v="700"/>
    <x v="87"/>
  </r>
  <r>
    <s v="A094"/>
    <s v="Participant 94"/>
    <s v="Participant94@example.com"/>
    <s v="555-0094"/>
    <x v="1"/>
    <x v="2"/>
    <n v="300"/>
    <x v="88"/>
  </r>
  <r>
    <s v="A095"/>
    <s v="Participant 95"/>
    <s v="Participant95@example.com"/>
    <s v="555-0095"/>
    <x v="0"/>
    <x v="0"/>
    <n v="450"/>
    <x v="89"/>
  </r>
  <r>
    <s v="A096"/>
    <s v="Participant 96"/>
    <s v="Participant96@example.com"/>
    <s v="555-0096"/>
    <x v="1"/>
    <x v="1"/>
    <n v="700"/>
    <x v="90"/>
  </r>
  <r>
    <s v="A097"/>
    <s v="Participant 97"/>
    <s v="Participant97@example.com"/>
    <s v="555-0097"/>
    <x v="0"/>
    <x v="2"/>
    <n v="300"/>
    <x v="91"/>
  </r>
  <r>
    <s v="A098"/>
    <s v="Participant 98"/>
    <s v="Participant98@example.com"/>
    <s v="555-0098"/>
    <x v="1"/>
    <x v="0"/>
    <n v="450"/>
    <x v="92"/>
  </r>
  <r>
    <s v="A099"/>
    <s v="Participant 99"/>
    <s v="Participant99@example.com"/>
    <s v="555-0099"/>
    <x v="0"/>
    <x v="1"/>
    <n v="700"/>
    <x v="93"/>
  </r>
  <r>
    <s v="A100"/>
    <s v="Participant 100"/>
    <s v="Participant100@example.com"/>
    <s v="555-0100"/>
    <x v="1"/>
    <x v="2"/>
    <n v="300"/>
    <x v="94"/>
  </r>
  <r>
    <m/>
    <m/>
    <m/>
    <m/>
    <x v="2"/>
    <x v="3"/>
    <m/>
    <x v="95"/>
  </r>
  <r>
    <m/>
    <m/>
    <m/>
    <m/>
    <x v="2"/>
    <x v="3"/>
    <m/>
    <x v="95"/>
  </r>
  <r>
    <m/>
    <m/>
    <m/>
    <m/>
    <x v="2"/>
    <x v="3"/>
    <m/>
    <x v="95"/>
  </r>
  <r>
    <m/>
    <m/>
    <m/>
    <m/>
    <x v="2"/>
    <x v="3"/>
    <m/>
    <x v="95"/>
  </r>
  <r>
    <m/>
    <m/>
    <m/>
    <m/>
    <x v="2"/>
    <x v="3"/>
    <m/>
    <x v="95"/>
  </r>
  <r>
    <m/>
    <m/>
    <m/>
    <m/>
    <x v="2"/>
    <x v="3"/>
    <m/>
    <x v="95"/>
  </r>
  <r>
    <m/>
    <m/>
    <m/>
    <m/>
    <x v="2"/>
    <x v="3"/>
    <m/>
    <x v="95"/>
  </r>
  <r>
    <m/>
    <m/>
    <m/>
    <m/>
    <x v="2"/>
    <x v="3"/>
    <m/>
    <x v="95"/>
  </r>
  <r>
    <m/>
    <m/>
    <m/>
    <m/>
    <x v="2"/>
    <x v="3"/>
    <m/>
    <x v="95"/>
  </r>
  <r>
    <m/>
    <m/>
    <m/>
    <m/>
    <x v="2"/>
    <x v="3"/>
    <m/>
    <x v="95"/>
  </r>
  <r>
    <m/>
    <m/>
    <m/>
    <m/>
    <x v="2"/>
    <x v="3"/>
    <m/>
    <x v="95"/>
  </r>
  <r>
    <m/>
    <m/>
    <m/>
    <m/>
    <x v="2"/>
    <x v="3"/>
    <m/>
    <x v="9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1"/>
    <s v="Participant 1"/>
    <s v="Participant1@example.com"/>
    <s v="555-0001"/>
    <s v="Online"/>
    <s v="Data Analytics"/>
    <n v="450"/>
    <x v="0"/>
  </r>
  <r>
    <s v="A002"/>
    <s v="Participant 2"/>
    <s v="Participant2@example.com"/>
    <s v="555-0002"/>
    <s v="In-Person"/>
    <s v="Data Analytics"/>
    <n v="450"/>
    <x v="1"/>
  </r>
  <r>
    <s v="A003"/>
    <s v="Participant 3"/>
    <s v="Participant3@example.com"/>
    <s v="555-0003"/>
    <s v="Online"/>
    <s v="Artificial Intelligence"/>
    <n v="700"/>
    <x v="2"/>
  </r>
  <r>
    <s v="A004"/>
    <s v="Participant 4"/>
    <s v="Participant4@example.com"/>
    <s v="555-0004"/>
    <s v="In-Person"/>
    <s v="Cybersecurity"/>
    <n v="300"/>
    <x v="3"/>
  </r>
  <r>
    <s v="A005"/>
    <s v="Participant 5"/>
    <s v="Participant5@example.com"/>
    <s v="555-0005"/>
    <s v="Online"/>
    <s v="Data Analytics"/>
    <n v="450"/>
    <x v="4"/>
  </r>
  <r>
    <s v="A006"/>
    <s v="Participant 6"/>
    <s v="Participant6@example.com"/>
    <s v="555-0006"/>
    <s v="In-Person"/>
    <s v="Artificial Intelligence"/>
    <n v="700"/>
    <x v="5"/>
  </r>
  <r>
    <s v="A007"/>
    <s v="Participant 7"/>
    <s v="Participant7@example.com"/>
    <s v="555-0007"/>
    <s v="Online"/>
    <s v="Cybersecurity"/>
    <n v="300"/>
    <x v="6"/>
  </r>
  <r>
    <s v="A008"/>
    <s v="Participant 8"/>
    <s v="Participant8@example.com"/>
    <s v="555-0008"/>
    <s v="In-Person"/>
    <s v="Data Analytics"/>
    <n v="450"/>
    <x v="7"/>
  </r>
  <r>
    <s v="A009"/>
    <s v="Participant 9"/>
    <s v="Participant9@example.com"/>
    <s v="555-0009"/>
    <s v="Online"/>
    <s v="Artificial Intelligence"/>
    <n v="700"/>
    <x v="8"/>
  </r>
  <r>
    <s v="A010"/>
    <s v="Participant 10"/>
    <s v="Participant10@example.com"/>
    <s v="555-0010"/>
    <s v="In-Person"/>
    <s v="Cybersecurity"/>
    <n v="300"/>
    <x v="9"/>
  </r>
  <r>
    <s v="A011"/>
    <s v="Participant 11"/>
    <s v="Participant11@example.com"/>
    <s v="555-0011"/>
    <s v="Online"/>
    <s v="Data Analytics"/>
    <n v="450"/>
    <x v="10"/>
  </r>
  <r>
    <s v="A012"/>
    <s v="Participant 12"/>
    <s v="Participant12@example.com"/>
    <s v="555-0012"/>
    <s v="In-Person"/>
    <s v="Artificial Intelligence"/>
    <n v="700"/>
    <x v="11"/>
  </r>
  <r>
    <s v="A013"/>
    <s v="Participant 13"/>
    <s v="Participant13@example.com"/>
    <s v="555-0013"/>
    <s v="Online"/>
    <s v="Cybersecurity"/>
    <n v="300"/>
    <x v="12"/>
  </r>
  <r>
    <s v="A014"/>
    <s v="Participant 14"/>
    <s v="Participant14@example.com"/>
    <s v="555-0014"/>
    <s v="In-Person"/>
    <s v="Data Analytics"/>
    <n v="450"/>
    <x v="13"/>
  </r>
  <r>
    <s v="A015"/>
    <s v="Participant 15"/>
    <s v="Participant15@example.com"/>
    <s v="555-0015"/>
    <s v="Online"/>
    <s v="Artificial Intelligence"/>
    <n v="700"/>
    <x v="14"/>
  </r>
  <r>
    <s v="A016"/>
    <s v="Participant 16"/>
    <s v="Participant16@example.com"/>
    <s v="555-0016"/>
    <s v="In-Person"/>
    <s v="Cybersecurity"/>
    <n v="300"/>
    <x v="15"/>
  </r>
  <r>
    <s v="A017"/>
    <s v="Participant 17"/>
    <s v="Participant17@example.com"/>
    <s v="555-0017"/>
    <s v="Online"/>
    <s v="Data Analytics"/>
    <n v="450"/>
    <x v="16"/>
  </r>
  <r>
    <s v="A018"/>
    <s v="Participant 18"/>
    <s v="Participant18@example.com"/>
    <s v="555-0018"/>
    <s v="In-Person"/>
    <s v="Artificial Intelligence"/>
    <n v="700"/>
    <x v="17"/>
  </r>
  <r>
    <s v="A019"/>
    <s v="Participant 19"/>
    <s v="Participant19@example.com"/>
    <s v="555-0019"/>
    <s v="Online"/>
    <s v="Cybersecurity"/>
    <n v="300"/>
    <x v="18"/>
  </r>
  <r>
    <s v="A020"/>
    <s v="Participant 20"/>
    <s v="Participant20@example.com"/>
    <s v="555-0020"/>
    <s v="In-Person"/>
    <s v="Data Analytics"/>
    <n v="450"/>
    <x v="19"/>
  </r>
  <r>
    <s v="A021"/>
    <s v="Participant 21"/>
    <s v="Participant21@example.com"/>
    <s v="555-0021"/>
    <s v="Online"/>
    <s v="Artificial Intelligence"/>
    <n v="700"/>
    <x v="20"/>
  </r>
  <r>
    <s v="A022"/>
    <s v="Participant 22"/>
    <s v="Participant22@example.com"/>
    <s v="555-0022"/>
    <s v="In-Person"/>
    <s v="Cybersecurity"/>
    <n v="300"/>
    <x v="21"/>
  </r>
  <r>
    <s v="A023"/>
    <s v="Participant 23"/>
    <s v="Participant23@example.com"/>
    <s v="555-0023"/>
    <s v="Online"/>
    <s v="Data Analytics"/>
    <n v="450"/>
    <x v="22"/>
  </r>
  <r>
    <s v="A024"/>
    <s v="Participant 24"/>
    <s v="Participant24@example.com"/>
    <s v="555-0024"/>
    <s v="In-Person"/>
    <s v="Artificial Intelligence"/>
    <n v="700"/>
    <x v="23"/>
  </r>
  <r>
    <s v="A025"/>
    <s v="Participant 25"/>
    <s v="Participant25@example.com"/>
    <s v="555-0025"/>
    <s v="Online"/>
    <s v="Cybersecurity"/>
    <n v="300"/>
    <x v="24"/>
  </r>
  <r>
    <s v="A026"/>
    <s v="Participant 26"/>
    <s v="Participant26@example.com"/>
    <s v="555-0026"/>
    <s v="In-Person"/>
    <s v="Data Analytics"/>
    <n v="450"/>
    <x v="25"/>
  </r>
  <r>
    <s v="A027"/>
    <s v="Participant 27"/>
    <s v="Participant27@example.com"/>
    <s v="555-0027"/>
    <s v="Online"/>
    <s v="Artificial Intelligence"/>
    <n v="700"/>
    <x v="26"/>
  </r>
  <r>
    <s v="A028"/>
    <s v="Participant 28"/>
    <s v="Participant28@example.com"/>
    <s v="555-0028"/>
    <s v="In-Person"/>
    <s v="Cybersecurity"/>
    <n v="300"/>
    <x v="27"/>
  </r>
  <r>
    <s v="A029"/>
    <s v="Participant 29"/>
    <s v="Participant29@example.com"/>
    <s v="555-0029"/>
    <s v="Online"/>
    <s v="Data Analytics"/>
    <n v="450"/>
    <x v="28"/>
  </r>
  <r>
    <s v="A030"/>
    <s v="Participant 30"/>
    <s v="Participant30@example.com"/>
    <s v="555-0030"/>
    <s v="In-Person"/>
    <s v="Artificial Intelligence"/>
    <n v="700"/>
    <x v="29"/>
  </r>
  <r>
    <s v="A031"/>
    <s v="Participant 31"/>
    <s v="Participant31@example.com"/>
    <s v="555-0031"/>
    <s v="Online"/>
    <s v="Cybersecurity"/>
    <n v="300"/>
    <x v="30"/>
  </r>
  <r>
    <s v="A032"/>
    <s v="Participant 32"/>
    <s v="Participant32@example.com"/>
    <s v="555-0032"/>
    <s v="In-Person"/>
    <s v="Data Analytics"/>
    <n v="450"/>
    <x v="31"/>
  </r>
  <r>
    <s v="A033"/>
    <s v="Participant 33"/>
    <s v="Participant33@example.com"/>
    <s v="555-0033"/>
    <s v="Online"/>
    <s v="Artificial Intelligence"/>
    <n v="700"/>
    <x v="32"/>
  </r>
  <r>
    <s v="A034"/>
    <s v="Participant 34"/>
    <s v="Participant34@example.com"/>
    <s v="555-0034"/>
    <s v="In-Person"/>
    <s v="Cybersecurity"/>
    <n v="300"/>
    <x v="33"/>
  </r>
  <r>
    <s v="A035"/>
    <s v="Participant 35"/>
    <s v="Participant35@example.com"/>
    <s v="555-0035"/>
    <s v="Online"/>
    <s v="Data Analytics"/>
    <n v="450"/>
    <x v="34"/>
  </r>
  <r>
    <s v="A036"/>
    <s v="Participant 36"/>
    <s v="Participant36@example.com"/>
    <s v="555-0036"/>
    <s v="In-Person"/>
    <s v="Artificial Intelligence"/>
    <n v="700"/>
    <x v="34"/>
  </r>
  <r>
    <s v="A037"/>
    <s v="Participant 37"/>
    <s v="Participant37@example.com"/>
    <s v="555-0037"/>
    <s v="Online"/>
    <s v="Cybersecurity"/>
    <n v="300"/>
    <x v="35"/>
  </r>
  <r>
    <s v="A038"/>
    <s v="Participant 38"/>
    <s v="Participant38@example.com"/>
    <s v="555-0038"/>
    <s v="In-Person"/>
    <s v="Data Analytics"/>
    <n v="450"/>
    <x v="36"/>
  </r>
  <r>
    <s v="A039"/>
    <s v="Participant 39"/>
    <s v="Participant39@example.com"/>
    <s v="555-0039"/>
    <s v="Online"/>
    <s v="Artificial Intelligence"/>
    <n v="700"/>
    <x v="37"/>
  </r>
  <r>
    <s v="A040"/>
    <s v="Participant 40"/>
    <s v="Participant40@example.com"/>
    <s v="555-0040"/>
    <s v="In-Person"/>
    <s v="Cybersecurity"/>
    <n v="300"/>
    <x v="38"/>
  </r>
  <r>
    <s v="A041"/>
    <s v="Participant 41"/>
    <s v="Participant41@example.com"/>
    <s v="555-0041"/>
    <s v="Online"/>
    <s v="Data Analytics"/>
    <n v="450"/>
    <x v="39"/>
  </r>
  <r>
    <s v="A042"/>
    <s v="Participant 42"/>
    <s v="Participant42@example.com"/>
    <s v="555-0042"/>
    <s v="In-Person"/>
    <s v="Artificial Intelligence"/>
    <n v="700"/>
    <x v="40"/>
  </r>
  <r>
    <s v="A043"/>
    <s v="Participant 43"/>
    <s v="Participant43@example.com"/>
    <s v="555-0043"/>
    <s v="Online"/>
    <s v="Cybersecurity"/>
    <n v="300"/>
    <x v="41"/>
  </r>
  <r>
    <s v="A044"/>
    <s v="Participant 44"/>
    <s v="Participant44@example.com"/>
    <s v="555-0044"/>
    <s v="In-Person"/>
    <s v="Data Analytics"/>
    <n v="450"/>
    <x v="42"/>
  </r>
  <r>
    <s v="A045"/>
    <s v="Participant 45"/>
    <s v="Participant45@example.com"/>
    <s v="555-0045"/>
    <s v="Online"/>
    <s v="Artificial Intelligence"/>
    <n v="700"/>
    <x v="43"/>
  </r>
  <r>
    <s v="A046"/>
    <s v="Participant 46"/>
    <s v="Participant46@example.com"/>
    <s v="555-0046"/>
    <s v="In-Person"/>
    <s v="Cybersecurity"/>
    <n v="300"/>
    <x v="44"/>
  </r>
  <r>
    <s v="A047"/>
    <s v="Participant 47"/>
    <s v="Participant47@example.com"/>
    <s v="555-0047"/>
    <s v="Online"/>
    <s v="Data Analytics"/>
    <n v="450"/>
    <x v="45"/>
  </r>
  <r>
    <s v="A048"/>
    <s v="Participant 48"/>
    <s v="Participant48@example.com"/>
    <s v="555-0048"/>
    <s v="In-Person"/>
    <s v="Artificial Intelligence"/>
    <n v="700"/>
    <x v="46"/>
  </r>
  <r>
    <s v="A049"/>
    <s v="Participant 49"/>
    <s v="Participant49@example.com"/>
    <s v="555-0049"/>
    <s v="Online"/>
    <s v="Cybersecurity"/>
    <n v="300"/>
    <x v="47"/>
  </r>
  <r>
    <s v="A050"/>
    <s v="Participant 50"/>
    <s v="Participant50@example.com"/>
    <s v="555-0050"/>
    <s v="In-Person"/>
    <s v="Data Analytics"/>
    <n v="450"/>
    <x v="48"/>
  </r>
  <r>
    <s v="A051"/>
    <s v="Participant 51"/>
    <s v="Participant51@example.com"/>
    <s v="555-0051"/>
    <s v="Online"/>
    <s v="Artificial Intelligence"/>
    <n v="700"/>
    <x v="48"/>
  </r>
  <r>
    <s v="A052"/>
    <s v="Participant 52"/>
    <s v="Participant52@example.com"/>
    <s v="555-0052"/>
    <s v="In-Person"/>
    <s v="Cybersecurity"/>
    <n v="300"/>
    <x v="49"/>
  </r>
  <r>
    <s v="A053"/>
    <s v="Participant 53"/>
    <s v="Participant53@example.com"/>
    <s v="555-0053"/>
    <s v="Online"/>
    <s v="Data Analytics"/>
    <n v="450"/>
    <x v="50"/>
  </r>
  <r>
    <s v="A054"/>
    <s v="Participant 54"/>
    <s v="Participant54@example.com"/>
    <s v="555-0054"/>
    <s v="In-Person"/>
    <s v="Artificial Intelligence"/>
    <n v="700"/>
    <x v="50"/>
  </r>
  <r>
    <s v="A055"/>
    <s v="Participant 55"/>
    <s v="Participant55@example.com"/>
    <s v="555-0055"/>
    <s v="Online"/>
    <s v="Cybersecurity"/>
    <n v="300"/>
    <x v="51"/>
  </r>
  <r>
    <s v="A056"/>
    <s v="Participant 56"/>
    <s v="Participant56@example.com"/>
    <s v="555-0056"/>
    <s v="In-Person"/>
    <s v="Data Analytics"/>
    <n v="450"/>
    <x v="52"/>
  </r>
  <r>
    <s v="A057"/>
    <s v="Participant 57"/>
    <s v="Participant57@example.com"/>
    <s v="555-0057"/>
    <s v="Online"/>
    <s v="Artificial Intelligence"/>
    <n v="700"/>
    <x v="53"/>
  </r>
  <r>
    <s v="A058"/>
    <s v="Participant 58"/>
    <s v="Participant58@example.com"/>
    <s v="555-0058"/>
    <s v="In-Person"/>
    <s v="Cybersecurity"/>
    <n v="300"/>
    <x v="54"/>
  </r>
  <r>
    <s v="A059"/>
    <s v="Participant 59"/>
    <s v="Participant59@example.com"/>
    <s v="555-0059"/>
    <s v="Online"/>
    <s v="Data Analytics"/>
    <n v="450"/>
    <x v="55"/>
  </r>
  <r>
    <s v="A060"/>
    <s v="Participant 60"/>
    <s v="Participant60@example.com"/>
    <s v="555-0060"/>
    <s v="In-Person"/>
    <s v="Artificial Intelligence"/>
    <n v="700"/>
    <x v="56"/>
  </r>
  <r>
    <s v="A061"/>
    <s v="Participant 61"/>
    <s v="Participant61@example.com"/>
    <s v="555-0061"/>
    <s v="Online"/>
    <s v="Cybersecurity"/>
    <n v="300"/>
    <x v="57"/>
  </r>
  <r>
    <s v="A062"/>
    <s v="Participant 62"/>
    <s v="Participant62@example.com"/>
    <s v="555-0062"/>
    <s v="In-Person"/>
    <s v="Data Analytics"/>
    <n v="450"/>
    <x v="58"/>
  </r>
  <r>
    <s v="A063"/>
    <s v="Participant 63"/>
    <s v="Participant63@example.com"/>
    <s v="555-0063"/>
    <s v="Online"/>
    <s v="Artificial Intelligence"/>
    <n v="700"/>
    <x v="58"/>
  </r>
  <r>
    <s v="A064"/>
    <s v="Participant 64"/>
    <s v="Participant64@example.com"/>
    <s v="555-0064"/>
    <s v="In-Person"/>
    <s v="Cybersecurity"/>
    <n v="300"/>
    <x v="59"/>
  </r>
  <r>
    <s v="A065"/>
    <s v="Participant 65"/>
    <s v="Participant65@example.com"/>
    <s v="555-0065"/>
    <s v="Online"/>
    <s v="Data Analytics"/>
    <n v="450"/>
    <x v="59"/>
  </r>
  <r>
    <s v="A066"/>
    <s v="Participant 66"/>
    <s v="Participant66@example.com"/>
    <s v="555-0066"/>
    <s v="In-Person"/>
    <s v="Artificial Intelligence"/>
    <n v="700"/>
    <x v="60"/>
  </r>
  <r>
    <s v="A067"/>
    <s v="Participant 67"/>
    <s v="Participant67@example.com"/>
    <s v="555-0067"/>
    <s v="Online"/>
    <s v="Cybersecurity"/>
    <n v="300"/>
    <x v="61"/>
  </r>
  <r>
    <s v="A068"/>
    <s v="Participant 68"/>
    <s v="Participant68@example.com"/>
    <s v="555-0068"/>
    <s v="In-Person"/>
    <s v="Data Analytics"/>
    <n v="450"/>
    <x v="62"/>
  </r>
  <r>
    <s v="A069"/>
    <s v="Participant 69"/>
    <s v="Participant69@example.com"/>
    <s v="555-0069"/>
    <s v="Online"/>
    <s v="Artificial Intelligence"/>
    <n v="700"/>
    <x v="63"/>
  </r>
  <r>
    <s v="A070"/>
    <s v="Participant 70"/>
    <s v="Participant70@example.com"/>
    <s v="555-0070"/>
    <s v="In-Person"/>
    <s v="Cybersecurity"/>
    <n v="300"/>
    <x v="64"/>
  </r>
  <r>
    <s v="A071"/>
    <s v="Participant 71"/>
    <s v="Participant71@example.com"/>
    <s v="555-0071"/>
    <s v="Online"/>
    <s v="Data Analytics"/>
    <n v="450"/>
    <x v="65"/>
  </r>
  <r>
    <s v="A072"/>
    <s v="Participant 72"/>
    <s v="Participant72@example.com"/>
    <s v="555-0072"/>
    <s v="In-Person"/>
    <s v="Artificial Intelligence"/>
    <n v="700"/>
    <x v="66"/>
  </r>
  <r>
    <s v="A073"/>
    <s v="Participant 73"/>
    <s v="Participant73@example.com"/>
    <s v="555-0073"/>
    <s v="Online"/>
    <s v="Cybersecurity"/>
    <n v="300"/>
    <x v="67"/>
  </r>
  <r>
    <s v="A074"/>
    <s v="Participant 74"/>
    <s v="Participant74@example.com"/>
    <s v="555-0074"/>
    <s v="In-Person"/>
    <s v="Data Analytics"/>
    <n v="450"/>
    <x v="68"/>
  </r>
  <r>
    <s v="A075"/>
    <s v="Participant 75"/>
    <s v="Participant75@example.com"/>
    <s v="555-0075"/>
    <s v="Online"/>
    <s v="Artificial Intelligence"/>
    <n v="700"/>
    <x v="69"/>
  </r>
  <r>
    <s v="A076"/>
    <s v="Participant 76"/>
    <s v="Participant76@example.com"/>
    <s v="555-0076"/>
    <s v="In-Person"/>
    <s v="Cybersecurity"/>
    <n v="300"/>
    <x v="70"/>
  </r>
  <r>
    <s v="A077"/>
    <s v="Participant 77"/>
    <s v="Participant77@example.com"/>
    <s v="555-0077"/>
    <s v="Online"/>
    <s v="Data Analytics"/>
    <n v="450"/>
    <x v="71"/>
  </r>
  <r>
    <s v="A078"/>
    <s v="Participant 78"/>
    <s v="Participant78@example.com"/>
    <s v="555-0078"/>
    <s v="In-Person"/>
    <s v="Artificial Intelligence"/>
    <n v="700"/>
    <x v="72"/>
  </r>
  <r>
    <s v="A079"/>
    <s v="Participant 79"/>
    <s v="Participant79@example.com"/>
    <s v="555-0079"/>
    <s v="Online"/>
    <s v="Cybersecurity"/>
    <n v="300"/>
    <x v="73"/>
  </r>
  <r>
    <s v="A080"/>
    <s v="Participant 80"/>
    <s v="Participant80@example.com"/>
    <s v="555-0080"/>
    <s v="In-Person"/>
    <s v="Data Analytics"/>
    <n v="450"/>
    <x v="74"/>
  </r>
  <r>
    <s v="A081"/>
    <s v="Participant 81"/>
    <s v="Participant81@example.com"/>
    <s v="555-0081"/>
    <s v="Online"/>
    <s v="Artificial Intelligence"/>
    <n v="700"/>
    <x v="75"/>
  </r>
  <r>
    <s v="A082"/>
    <s v="Participant 82"/>
    <s v="Participant82@example.com"/>
    <s v="555-0082"/>
    <s v="In-Person"/>
    <s v="Cybersecurity"/>
    <n v="300"/>
    <x v="76"/>
  </r>
  <r>
    <s v="A083"/>
    <s v="Participant 83"/>
    <s v="Participant83@example.com"/>
    <s v="555-0083"/>
    <s v="Online"/>
    <s v="Data Analytics"/>
    <n v="450"/>
    <x v="77"/>
  </r>
  <r>
    <s v="A084"/>
    <s v="Participant 84"/>
    <s v="Participant84@example.com"/>
    <s v="555-0084"/>
    <s v="In-Person"/>
    <s v="Artificial Intelligence"/>
    <n v="700"/>
    <x v="78"/>
  </r>
  <r>
    <s v="A085"/>
    <s v="Participant 85"/>
    <s v="Participant85@example.com"/>
    <s v="555-0085"/>
    <s v="Online"/>
    <s v="Cybersecurity"/>
    <n v="300"/>
    <x v="79"/>
  </r>
  <r>
    <s v="A086"/>
    <s v="Participant 86"/>
    <s v="Participant86@example.com"/>
    <s v="555-0086"/>
    <s v="In-Person"/>
    <s v="Data Analytics"/>
    <n v="450"/>
    <x v="80"/>
  </r>
  <r>
    <s v="A087"/>
    <s v="Participant 87"/>
    <s v="Participant87@example.com"/>
    <s v="555-0087"/>
    <s v="Online"/>
    <s v="Artificial Intelligence"/>
    <n v="700"/>
    <x v="81"/>
  </r>
  <r>
    <s v="A088"/>
    <s v="Participant 88"/>
    <s v="Participant88@example.com"/>
    <s v="555-0088"/>
    <s v="In-Person"/>
    <s v="Cybersecurity"/>
    <n v="300"/>
    <x v="82"/>
  </r>
  <r>
    <s v="A089"/>
    <s v="Participant 89"/>
    <s v="Participant89@example.com"/>
    <s v="555-0089"/>
    <s v="Online"/>
    <s v="Data Analytics"/>
    <n v="450"/>
    <x v="83"/>
  </r>
  <r>
    <s v="A090"/>
    <s v="Participant 90"/>
    <s v="Participant90@example.com"/>
    <s v="555-0090"/>
    <s v="In-Person"/>
    <s v="Artificial Intelligence"/>
    <n v="700"/>
    <x v="84"/>
  </r>
  <r>
    <s v="A091"/>
    <s v="Participant 91"/>
    <s v="Participant91@example.com"/>
    <s v="555-0091"/>
    <s v="Online"/>
    <s v="Cybersecurity"/>
    <n v="300"/>
    <x v="85"/>
  </r>
  <r>
    <s v="A092"/>
    <s v="Participant 92"/>
    <s v="Participant92@example.com"/>
    <s v="555-0092"/>
    <s v="In-Person"/>
    <s v="Data Analytics"/>
    <n v="450"/>
    <x v="86"/>
  </r>
  <r>
    <s v="A093"/>
    <s v="Participant 93"/>
    <s v="Participant93@example.com"/>
    <s v="555-0093"/>
    <s v="Online"/>
    <s v="Artificial Intelligence"/>
    <n v="700"/>
    <x v="87"/>
  </r>
  <r>
    <s v="A094"/>
    <s v="Participant 94"/>
    <s v="Participant94@example.com"/>
    <s v="555-0094"/>
    <s v="In-Person"/>
    <s v="Cybersecurity"/>
    <n v="300"/>
    <x v="88"/>
  </r>
  <r>
    <s v="A095"/>
    <s v="Participant 95"/>
    <s v="Participant95@example.com"/>
    <s v="555-0095"/>
    <s v="Online"/>
    <s v="Data Analytics"/>
    <n v="450"/>
    <x v="89"/>
  </r>
  <r>
    <s v="A096"/>
    <s v="Participant 96"/>
    <s v="Participant96@example.com"/>
    <s v="555-0096"/>
    <s v="In-Person"/>
    <s v="Artificial Intelligence"/>
    <n v="700"/>
    <x v="90"/>
  </r>
  <r>
    <s v="A097"/>
    <s v="Participant 97"/>
    <s v="Participant97@example.com"/>
    <s v="555-0097"/>
    <s v="Online"/>
    <s v="Cybersecurity"/>
    <n v="300"/>
    <x v="91"/>
  </r>
  <r>
    <s v="A098"/>
    <s v="Participant 98"/>
    <s v="Participant98@example.com"/>
    <s v="555-0098"/>
    <s v="In-Person"/>
    <s v="Data Analytics"/>
    <n v="450"/>
    <x v="92"/>
  </r>
  <r>
    <s v="A099"/>
    <s v="Participant 99"/>
    <s v="Participant99@example.com"/>
    <s v="555-0099"/>
    <s v="Online"/>
    <s v="Artificial Intelligence"/>
    <n v="700"/>
    <x v="93"/>
  </r>
  <r>
    <s v="A100"/>
    <s v="Participant 100"/>
    <s v="Participant100@example.com"/>
    <s v="555-0100"/>
    <s v="In-Person"/>
    <s v="Cybersecurity"/>
    <n v="300"/>
    <x v="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CA5CBE-8BD0-495F-9B07-2A0AEEA4F7F6}"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Year">
  <location ref="A3:C41" firstHeaderRow="0" firstDataRow="1" firstDataCol="1"/>
  <pivotFields count="11">
    <pivotField dataField="1" showAll="0"/>
    <pivotField showAll="0"/>
    <pivotField showAll="0"/>
    <pivotField showAll="0"/>
    <pivotField showAll="0"/>
    <pivotField showAll="0"/>
    <pivotField dataField="1" showAll="0"/>
    <pivotField axis="axisRow" numFmtId="164" showAll="0">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x="2"/>
        <item x="3"/>
        <item x="4"/>
        <item sd="0" x="5"/>
        <item t="default"/>
      </items>
    </pivotField>
    <pivotField axis="axisRow" showAll="0">
      <items count="6">
        <item sd="0" x="0"/>
        <item x="1"/>
        <item x="2"/>
        <item x="3"/>
        <item sd="0" x="4"/>
        <item t="default"/>
      </items>
    </pivotField>
  </pivotFields>
  <rowFields count="4">
    <field x="10"/>
    <field x="9"/>
    <field x="8"/>
    <field x="7"/>
  </rowFields>
  <rowItems count="38">
    <i>
      <x v="1"/>
    </i>
    <i r="1">
      <x v="4"/>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t="grand">
      <x/>
    </i>
  </rowItems>
  <colFields count="1">
    <field x="-2"/>
  </colFields>
  <colItems count="2">
    <i>
      <x/>
    </i>
    <i i="1">
      <x v="1"/>
    </i>
  </colItems>
  <dataFields count="2">
    <dataField name="Count of ID" fld="0" subtotal="count" baseField="0" baseItem="0"/>
    <dataField name="Sum of Ticket Price (€)" fld="6"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C9537F-7A5F-4724-A5C0-0FE76430B742}"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A3:B7" firstHeaderRow="1" firstDataRow="1" firstDataCol="1"/>
  <pivotFields count="11">
    <pivotField showAll="0"/>
    <pivotField showAll="0"/>
    <pivotField showAll="0"/>
    <pivotField showAll="0"/>
    <pivotField showAll="0">
      <items count="4">
        <item x="1"/>
        <item x="0"/>
        <item x="2"/>
        <item t="default"/>
      </items>
    </pivotField>
    <pivotField axis="axisRow" showAll="0">
      <items count="5">
        <item x="1"/>
        <item x="2"/>
        <item x="0"/>
        <item x="3"/>
        <item t="default"/>
      </items>
    </pivotField>
    <pivotField dataField="1" showAll="0"/>
    <pivotField showAll="0">
      <items count="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4">
    <i>
      <x/>
    </i>
    <i>
      <x v="1"/>
    </i>
    <i>
      <x v="2"/>
    </i>
    <i t="grand">
      <x/>
    </i>
  </rowItems>
  <colItems count="1">
    <i/>
  </colItems>
  <dataFields count="1">
    <dataField name="Sum of Ticket Price (€)" fld="6" baseField="5" baseItem="1" numFmtId="168"/>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2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7" name="Registration Date">
      <autoFilter ref="A1">
        <filterColumn colId="0">
          <customFilters and="1">
            <customFilter operator="greaterThanOrEqual" val="4456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D1FADE-DD58-4073-BA57-9F5EA09E3E97}"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K3:L6" firstHeaderRow="1" firstDataRow="1" firstDataCol="1"/>
  <pivotFields count="11">
    <pivotField dataField="1" showAll="0"/>
    <pivotField showAll="0"/>
    <pivotField showAll="0"/>
    <pivotField showAll="0"/>
    <pivotField axis="axisRow" showAll="0">
      <items count="4">
        <item x="1"/>
        <item x="0"/>
        <item x="2"/>
        <item t="default"/>
      </items>
    </pivotField>
    <pivotField showAll="0">
      <items count="5">
        <item x="1"/>
        <item x="2"/>
        <item x="0"/>
        <item x="3"/>
        <item t="default"/>
      </items>
    </pivotField>
    <pivotField showAll="0"/>
    <pivotField showAll="0">
      <items count="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pivotField>
    <pivotField showAll="0" defaultSubtotal="0"/>
    <pivotField showAll="0" defaultSubtotal="0"/>
    <pivotField showAll="0" defaultSubtotal="0">
      <items count="5">
        <item x="0"/>
        <item x="1"/>
        <item x="2"/>
        <item x="3"/>
        <item x="4"/>
      </items>
    </pivotField>
  </pivotFields>
  <rowFields count="1">
    <field x="4"/>
  </rowFields>
  <rowItems count="3">
    <i>
      <x/>
    </i>
    <i>
      <x v="1"/>
    </i>
    <i t="grand">
      <x/>
    </i>
  </rowItems>
  <colItems count="1">
    <i/>
  </colItems>
  <dataFields count="1">
    <dataField name="Count of ID" fld="0" subtotal="count" baseField="0" baseItem="0"/>
  </dataFields>
  <chartFormats count="9">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 chart="3" format="7">
      <pivotArea type="data" outline="0" fieldPosition="0">
        <references count="2">
          <reference field="4294967294" count="1" selected="0">
            <x v="0"/>
          </reference>
          <reference field="4" count="1" selected="0">
            <x v="2"/>
          </reference>
        </references>
      </pivotArea>
    </chartFormat>
    <chartFormat chart="20" format="20" series="1">
      <pivotArea type="data" outline="0" fieldPosition="0">
        <references count="1">
          <reference field="4294967294" count="1" selected="0">
            <x v="0"/>
          </reference>
        </references>
      </pivotArea>
    </chartFormat>
    <chartFormat chart="20" format="21">
      <pivotArea type="data" outline="0" fieldPosition="0">
        <references count="2">
          <reference field="4294967294" count="1" selected="0">
            <x v="0"/>
          </reference>
          <reference field="4" count="1" selected="0">
            <x v="0"/>
          </reference>
        </references>
      </pivotArea>
    </chartFormat>
    <chartFormat chart="20" format="22">
      <pivotArea type="data" outline="0" fieldPosition="0">
        <references count="2">
          <reference field="4294967294" count="1" selected="0">
            <x v="0"/>
          </reference>
          <reference field="4" count="1" selected="0">
            <x v="1"/>
          </reference>
        </references>
      </pivotArea>
    </chartFormat>
    <chartFormat chart="20" format="2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filters count="1">
    <filter fld="7" type="dateBetween" evalOrder="-1" id="7" name="Registration Date">
      <autoFilter ref="A1">
        <filterColumn colId="0">
          <customFilters and="1">
            <customFilter operator="greaterThanOrEqual" val="4456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45E80B-A0B6-433B-9466-A6E3DDC55F58}"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0">
  <location ref="F3:G32" firstHeaderRow="1" firstDataRow="1" firstDataCol="1"/>
  <pivotFields count="11">
    <pivotField dataField="1" showAll="0"/>
    <pivotField showAll="0"/>
    <pivotField showAll="0"/>
    <pivotField showAll="0"/>
    <pivotField showAll="0">
      <items count="4">
        <item x="1"/>
        <item x="0"/>
        <item x="2"/>
        <item t="default"/>
      </items>
    </pivotField>
    <pivotField showAll="0">
      <items count="5">
        <item x="1"/>
        <item x="2"/>
        <item x="0"/>
        <item x="3"/>
        <item t="default"/>
      </items>
    </pivotField>
    <pivotField showAll="0"/>
    <pivotField showAll="0">
      <items count="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2">
    <field x="10"/>
    <field x="8"/>
  </rowFields>
  <rowItems count="29">
    <i>
      <x v="1"/>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t="grand">
      <x/>
    </i>
  </rowItems>
  <colItems count="1">
    <i/>
  </colItems>
  <dataFields count="1">
    <dataField name="Count of ID"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dateBetween" evalOrder="-1" id="7" name="Registration Date">
      <autoFilter ref="A1">
        <filterColumn colId="0">
          <customFilters and="1">
            <customFilter operator="greaterThanOrEqual" val="4456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Type" xr10:uid="{68ECE517-1A2E-4825-9AB1-5ACB0EE9BFA8}" sourceName="Attendance Type">
  <pivotTables>
    <pivotTable tabId="7" name="PivotTable4"/>
    <pivotTable tabId="7" name="PivotTable2"/>
    <pivotTable tabId="7" name="PivotTable5"/>
  </pivotTables>
  <data>
    <tabular pivotCacheId="1027165596">
      <items count="3">
        <i x="1" s="1"/>
        <i x="0"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812BCC37-3E84-438D-9DD7-EF2382DD25D9}" sourceName="Session Preference">
  <pivotTables>
    <pivotTable tabId="7" name="PivotTable4"/>
    <pivotTable tabId="7" name="PivotTable2"/>
    <pivotTable tabId="7" name="PivotTable5"/>
  </pivotTables>
  <data>
    <tabular pivotCacheId="1027165596">
      <items count="4">
        <i x="1" s="1"/>
        <i x="2" s="1"/>
        <i x="0"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endance Type" xr10:uid="{1AE89B11-80D0-42EF-BDF0-E1DAFC5618AF}" cache="Slicer_Attendance_Type" caption="Attendance Type" rowHeight="241300"/>
  <slicer name="Session Preference" xr10:uid="{760B0B2E-4E85-4963-B924-69F0B27713DD}" cache="Slicer_Session_Preference" caption="Session Preferenc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endance Type 2" xr10:uid="{2E6D0F65-78FD-4802-AEC1-FD625D3EB964}" cache="Slicer_Attendance_Type" caption="Attendance Type" rowHeight="241300"/>
  <slicer name="Session Preference 2" xr10:uid="{38D6C7A6-D865-46AD-A06E-32B3381768C0}" cache="Slicer_Session_Preference" caption="Session Preferenc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8345E9-0153-4147-8809-E39299E8D6D7}" name="Table1" displayName="Table1" ref="A1:F39" totalsRowShown="0" headerRowDxfId="6">
  <autoFilter ref="A1:F39" xr:uid="{718345E9-0153-4147-8809-E39299E8D6D7}"/>
  <tableColumns count="6">
    <tableColumn id="1" xr3:uid="{1E979D4E-2FCE-4A3D-BF1E-2C8ACDB79F83}" name="Dates" dataDxfId="5"/>
    <tableColumn id="2" xr3:uid="{4C8B7AE4-1E6B-47BC-9CD4-358CFF816032}" name="Actual Registrations" dataDxfId="4"/>
    <tableColumn id="3" xr3:uid="{BC0E1D64-7CCB-4B67-8B1D-A9F7B899B92D}" name="Forecasted Registrations" dataDxfId="3"/>
    <tableColumn id="4" xr3:uid="{2C66CC95-F93E-40B6-88DE-BB81D8C95043}" name="Avg Price" dataDxfId="2"/>
    <tableColumn id="5" xr3:uid="{FFC92203-AFEF-4FE6-884E-A696B84DBEAB}" name="Forecasted Revenue" dataDxfId="1" dataCellStyle="Currency"/>
    <tableColumn id="6" xr3:uid="{36AE2029-DF4A-473C-B337-9AC68ED9FDFF}" name="Notes"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CA9D47D3-0DE0-44A9-82BF-09AF25A49FF2}" sourceName="Registration Date">
  <pivotTables>
    <pivotTable tabId="7" name="PivotTable4"/>
    <pivotTable tabId="7" name="PivotTable2"/>
    <pivotTable tabId="7" name="PivotTable5"/>
  </pivotTables>
  <state minimalRefreshVersion="6" lastRefreshVersion="6" pivotCacheId="1027165596" filterType="dateBetween">
    <selection startDate="2022-01-01T00:00:00" endDate="2024-12-31T00:00:00"/>
    <bounds startDate="2022-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xr10:uid="{E7D98143-FB6A-4A70-A562-263CEE1C5453}" cache="NativeTimeline_Registration_Date" caption="Registration Date" level="2" selectionLevel="0" scrollPosition="2024-05-18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2" xr10:uid="{F3C77ECA-28FC-45BE-AE7D-378EC509955D}" cache="NativeTimeline_Registration_Date" caption="Registration Date" level="2" selectionLevel="0" scrollPosition="2024-04-27T00:00:00"/>
</timeline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000"/>
  <sheetViews>
    <sheetView tabSelected="1" workbookViewId="0">
      <selection activeCell="A3" sqref="A3"/>
    </sheetView>
  </sheetViews>
  <sheetFormatPr defaultColWidth="14.42578125" defaultRowHeight="15" customHeight="1" x14ac:dyDescent="0.25"/>
  <cols>
    <col min="1" max="1" width="10.5703125" customWidth="1"/>
    <col min="2" max="2" width="12.85546875" customWidth="1"/>
    <col min="3" max="3" width="23.140625" customWidth="1"/>
    <col min="4" max="4" width="13.140625" customWidth="1"/>
    <col min="5" max="5" width="14.7109375" customWidth="1"/>
    <col min="6" max="6" width="20.5703125" customWidth="1"/>
    <col min="7" max="7" width="12.5703125" customWidth="1"/>
    <col min="8" max="8" width="24.42578125" customWidth="1"/>
    <col min="9" max="26" width="8.7109375" customWidth="1"/>
  </cols>
  <sheetData>
    <row r="1" spans="1:8" ht="14.25" customHeight="1" x14ac:dyDescent="0.25">
      <c r="A1" s="1" t="s">
        <v>420</v>
      </c>
      <c r="B1" s="1" t="s">
        <v>0</v>
      </c>
      <c r="C1" s="1" t="s">
        <v>1</v>
      </c>
      <c r="D1" s="1" t="s">
        <v>2</v>
      </c>
      <c r="E1" s="1" t="s">
        <v>3</v>
      </c>
      <c r="F1" s="1" t="s">
        <v>4</v>
      </c>
      <c r="G1" s="1" t="s">
        <v>5</v>
      </c>
      <c r="H1" s="1" t="s">
        <v>6</v>
      </c>
    </row>
    <row r="2" spans="1:8" ht="14.25" customHeight="1" x14ac:dyDescent="0.25">
      <c r="A2" s="2" t="s">
        <v>7</v>
      </c>
      <c r="B2" s="2" t="s">
        <v>8</v>
      </c>
      <c r="C2" s="2" t="s">
        <v>9</v>
      </c>
      <c r="D2" s="2" t="s">
        <v>10</v>
      </c>
      <c r="E2" s="2" t="s">
        <v>11</v>
      </c>
      <c r="F2" s="2" t="s">
        <v>12</v>
      </c>
      <c r="G2" s="2">
        <v>450</v>
      </c>
      <c r="H2" s="3">
        <v>44878</v>
      </c>
    </row>
    <row r="3" spans="1:8" ht="14.25" customHeight="1" x14ac:dyDescent="0.25">
      <c r="A3" s="2" t="s">
        <v>13</v>
      </c>
      <c r="B3" s="2" t="s">
        <v>14</v>
      </c>
      <c r="C3" s="2" t="s">
        <v>15</v>
      </c>
      <c r="D3" s="2" t="s">
        <v>16</v>
      </c>
      <c r="E3" s="2" t="s">
        <v>17</v>
      </c>
      <c r="F3" s="2" t="s">
        <v>12</v>
      </c>
      <c r="G3" s="2">
        <v>450</v>
      </c>
      <c r="H3" s="3">
        <v>44909</v>
      </c>
    </row>
    <row r="4" spans="1:8" ht="14.25" customHeight="1" x14ac:dyDescent="0.25">
      <c r="A4" s="2" t="s">
        <v>18</v>
      </c>
      <c r="B4" s="2" t="s">
        <v>19</v>
      </c>
      <c r="C4" s="2" t="s">
        <v>20</v>
      </c>
      <c r="D4" s="2" t="s">
        <v>21</v>
      </c>
      <c r="E4" s="2" t="s">
        <v>11</v>
      </c>
      <c r="F4" s="2" t="s">
        <v>22</v>
      </c>
      <c r="G4" s="2">
        <v>700</v>
      </c>
      <c r="H4" s="3">
        <v>44915</v>
      </c>
    </row>
    <row r="5" spans="1:8" ht="14.25" customHeight="1" x14ac:dyDescent="0.25">
      <c r="A5" s="2" t="s">
        <v>23</v>
      </c>
      <c r="B5" s="2" t="s">
        <v>24</v>
      </c>
      <c r="C5" s="2" t="s">
        <v>25</v>
      </c>
      <c r="D5" s="2" t="s">
        <v>26</v>
      </c>
      <c r="E5" s="2" t="s">
        <v>17</v>
      </c>
      <c r="F5" s="2" t="s">
        <v>27</v>
      </c>
      <c r="G5" s="2">
        <v>300</v>
      </c>
      <c r="H5" s="3">
        <v>44921</v>
      </c>
    </row>
    <row r="6" spans="1:8" ht="14.25" customHeight="1" x14ac:dyDescent="0.25">
      <c r="A6" s="2" t="s">
        <v>28</v>
      </c>
      <c r="B6" s="2" t="s">
        <v>29</v>
      </c>
      <c r="C6" s="2" t="s">
        <v>30</v>
      </c>
      <c r="D6" s="2" t="s">
        <v>31</v>
      </c>
      <c r="E6" s="2" t="s">
        <v>11</v>
      </c>
      <c r="F6" s="2" t="s">
        <v>12</v>
      </c>
      <c r="G6" s="2">
        <v>450</v>
      </c>
      <c r="H6" s="3">
        <v>44926</v>
      </c>
    </row>
    <row r="7" spans="1:8" ht="14.25" customHeight="1" x14ac:dyDescent="0.25">
      <c r="A7" s="2" t="s">
        <v>32</v>
      </c>
      <c r="B7" s="2" t="s">
        <v>33</v>
      </c>
      <c r="C7" s="2" t="s">
        <v>34</v>
      </c>
      <c r="D7" s="2" t="s">
        <v>35</v>
      </c>
      <c r="E7" s="2" t="s">
        <v>17</v>
      </c>
      <c r="F7" s="2" t="s">
        <v>22</v>
      </c>
      <c r="G7" s="2">
        <v>700</v>
      </c>
      <c r="H7" s="3">
        <v>44937</v>
      </c>
    </row>
    <row r="8" spans="1:8" ht="14.25" customHeight="1" x14ac:dyDescent="0.25">
      <c r="A8" s="2" t="s">
        <v>36</v>
      </c>
      <c r="B8" s="2" t="s">
        <v>37</v>
      </c>
      <c r="C8" s="2" t="s">
        <v>38</v>
      </c>
      <c r="D8" s="2" t="s">
        <v>39</v>
      </c>
      <c r="E8" s="2" t="s">
        <v>11</v>
      </c>
      <c r="F8" s="2" t="s">
        <v>27</v>
      </c>
      <c r="G8" s="2">
        <v>300</v>
      </c>
      <c r="H8" s="3">
        <v>44941</v>
      </c>
    </row>
    <row r="9" spans="1:8" ht="14.25" customHeight="1" x14ac:dyDescent="0.25">
      <c r="A9" s="2" t="s">
        <v>40</v>
      </c>
      <c r="B9" s="2" t="s">
        <v>41</v>
      </c>
      <c r="C9" s="2" t="s">
        <v>42</v>
      </c>
      <c r="D9" s="2" t="s">
        <v>43</v>
      </c>
      <c r="E9" s="2" t="s">
        <v>17</v>
      </c>
      <c r="F9" s="2" t="s">
        <v>12</v>
      </c>
      <c r="G9" s="2">
        <v>450</v>
      </c>
      <c r="H9" s="3">
        <v>44943</v>
      </c>
    </row>
    <row r="10" spans="1:8" ht="14.25" customHeight="1" x14ac:dyDescent="0.25">
      <c r="A10" s="2" t="s">
        <v>44</v>
      </c>
      <c r="B10" s="2" t="s">
        <v>45</v>
      </c>
      <c r="C10" s="2" t="s">
        <v>46</v>
      </c>
      <c r="D10" s="2" t="s">
        <v>47</v>
      </c>
      <c r="E10" s="2" t="s">
        <v>11</v>
      </c>
      <c r="F10" s="2" t="s">
        <v>22</v>
      </c>
      <c r="G10" s="2">
        <v>700</v>
      </c>
      <c r="H10" s="3">
        <v>44962</v>
      </c>
    </row>
    <row r="11" spans="1:8" ht="14.25" customHeight="1" x14ac:dyDescent="0.25">
      <c r="A11" s="2" t="s">
        <v>48</v>
      </c>
      <c r="B11" s="2" t="s">
        <v>49</v>
      </c>
      <c r="C11" s="2" t="s">
        <v>50</v>
      </c>
      <c r="D11" s="2" t="s">
        <v>51</v>
      </c>
      <c r="E11" s="2" t="s">
        <v>17</v>
      </c>
      <c r="F11" s="2" t="s">
        <v>27</v>
      </c>
      <c r="G11" s="2">
        <v>300</v>
      </c>
      <c r="H11" s="3">
        <v>44966</v>
      </c>
    </row>
    <row r="12" spans="1:8" ht="14.25" customHeight="1" x14ac:dyDescent="0.25">
      <c r="A12" s="2" t="s">
        <v>52</v>
      </c>
      <c r="B12" s="2" t="s">
        <v>53</v>
      </c>
      <c r="C12" s="2" t="s">
        <v>54</v>
      </c>
      <c r="D12" s="2" t="s">
        <v>55</v>
      </c>
      <c r="E12" s="2" t="s">
        <v>11</v>
      </c>
      <c r="F12" s="2" t="s">
        <v>12</v>
      </c>
      <c r="G12" s="2">
        <v>450</v>
      </c>
      <c r="H12" s="3">
        <v>44971</v>
      </c>
    </row>
    <row r="13" spans="1:8" ht="14.25" customHeight="1" x14ac:dyDescent="0.25">
      <c r="A13" s="2" t="s">
        <v>56</v>
      </c>
      <c r="B13" s="2" t="s">
        <v>57</v>
      </c>
      <c r="C13" s="2" t="s">
        <v>58</v>
      </c>
      <c r="D13" s="2" t="s">
        <v>59</v>
      </c>
      <c r="E13" s="2" t="s">
        <v>17</v>
      </c>
      <c r="F13" s="2" t="s">
        <v>22</v>
      </c>
      <c r="G13" s="2">
        <v>700</v>
      </c>
      <c r="H13" s="3">
        <v>44975</v>
      </c>
    </row>
    <row r="14" spans="1:8" ht="14.25" customHeight="1" x14ac:dyDescent="0.25">
      <c r="A14" s="2" t="s">
        <v>60</v>
      </c>
      <c r="B14" s="2" t="s">
        <v>61</v>
      </c>
      <c r="C14" s="2" t="s">
        <v>62</v>
      </c>
      <c r="D14" s="2" t="s">
        <v>63</v>
      </c>
      <c r="E14" s="2" t="s">
        <v>11</v>
      </c>
      <c r="F14" s="2" t="s">
        <v>27</v>
      </c>
      <c r="G14" s="2">
        <v>300</v>
      </c>
      <c r="H14" s="3">
        <v>44976</v>
      </c>
    </row>
    <row r="15" spans="1:8" ht="14.25" customHeight="1" x14ac:dyDescent="0.25">
      <c r="A15" s="2" t="s">
        <v>64</v>
      </c>
      <c r="B15" s="2" t="s">
        <v>65</v>
      </c>
      <c r="C15" s="2" t="s">
        <v>66</v>
      </c>
      <c r="D15" s="2" t="s">
        <v>67</v>
      </c>
      <c r="E15" s="2" t="s">
        <v>17</v>
      </c>
      <c r="F15" s="2" t="s">
        <v>12</v>
      </c>
      <c r="G15" s="2">
        <v>450</v>
      </c>
      <c r="H15" s="3">
        <v>44978</v>
      </c>
    </row>
    <row r="16" spans="1:8" ht="14.25" customHeight="1" x14ac:dyDescent="0.25">
      <c r="A16" s="2" t="s">
        <v>68</v>
      </c>
      <c r="B16" s="2" t="s">
        <v>69</v>
      </c>
      <c r="C16" s="2" t="s">
        <v>70</v>
      </c>
      <c r="D16" s="2" t="s">
        <v>71</v>
      </c>
      <c r="E16" s="2" t="s">
        <v>11</v>
      </c>
      <c r="F16" s="2" t="s">
        <v>22</v>
      </c>
      <c r="G16" s="2">
        <v>700</v>
      </c>
      <c r="H16" s="3">
        <v>44979</v>
      </c>
    </row>
    <row r="17" spans="1:8" ht="14.25" customHeight="1" x14ac:dyDescent="0.25">
      <c r="A17" s="2" t="s">
        <v>72</v>
      </c>
      <c r="B17" s="2" t="s">
        <v>73</v>
      </c>
      <c r="C17" s="2" t="s">
        <v>74</v>
      </c>
      <c r="D17" s="2" t="s">
        <v>75</v>
      </c>
      <c r="E17" s="2" t="s">
        <v>17</v>
      </c>
      <c r="F17" s="2" t="s">
        <v>27</v>
      </c>
      <c r="G17" s="2">
        <v>300</v>
      </c>
      <c r="H17" s="3">
        <v>44982</v>
      </c>
    </row>
    <row r="18" spans="1:8" ht="14.25" customHeight="1" x14ac:dyDescent="0.25">
      <c r="A18" s="2" t="s">
        <v>76</v>
      </c>
      <c r="B18" s="2" t="s">
        <v>77</v>
      </c>
      <c r="C18" s="2" t="s">
        <v>78</v>
      </c>
      <c r="D18" s="2" t="s">
        <v>79</v>
      </c>
      <c r="E18" s="2" t="s">
        <v>11</v>
      </c>
      <c r="F18" s="2" t="s">
        <v>12</v>
      </c>
      <c r="G18" s="2">
        <v>450</v>
      </c>
      <c r="H18" s="3">
        <v>44999</v>
      </c>
    </row>
    <row r="19" spans="1:8" ht="14.25" customHeight="1" x14ac:dyDescent="0.25">
      <c r="A19" s="2" t="s">
        <v>80</v>
      </c>
      <c r="B19" s="2" t="s">
        <v>81</v>
      </c>
      <c r="C19" s="2" t="s">
        <v>82</v>
      </c>
      <c r="D19" s="2" t="s">
        <v>83</v>
      </c>
      <c r="E19" s="2" t="s">
        <v>17</v>
      </c>
      <c r="F19" s="2" t="s">
        <v>22</v>
      </c>
      <c r="G19" s="2">
        <v>700</v>
      </c>
      <c r="H19" s="3">
        <v>45019</v>
      </c>
    </row>
    <row r="20" spans="1:8" ht="14.25" customHeight="1" x14ac:dyDescent="0.25">
      <c r="A20" s="2" t="s">
        <v>84</v>
      </c>
      <c r="B20" s="2" t="s">
        <v>85</v>
      </c>
      <c r="C20" s="2" t="s">
        <v>86</v>
      </c>
      <c r="D20" s="2" t="s">
        <v>87</v>
      </c>
      <c r="E20" s="2" t="s">
        <v>11</v>
      </c>
      <c r="F20" s="2" t="s">
        <v>27</v>
      </c>
      <c r="G20" s="2">
        <v>300</v>
      </c>
      <c r="H20" s="3">
        <v>45026</v>
      </c>
    </row>
    <row r="21" spans="1:8" ht="14.25" customHeight="1" x14ac:dyDescent="0.25">
      <c r="A21" s="2" t="s">
        <v>88</v>
      </c>
      <c r="B21" s="2" t="s">
        <v>89</v>
      </c>
      <c r="C21" s="2" t="s">
        <v>90</v>
      </c>
      <c r="D21" s="2" t="s">
        <v>91</v>
      </c>
      <c r="E21" s="2" t="s">
        <v>17</v>
      </c>
      <c r="F21" s="2" t="s">
        <v>12</v>
      </c>
      <c r="G21" s="2">
        <v>450</v>
      </c>
      <c r="H21" s="3">
        <v>45028</v>
      </c>
    </row>
    <row r="22" spans="1:8" ht="14.25" customHeight="1" x14ac:dyDescent="0.25">
      <c r="A22" s="2" t="s">
        <v>92</v>
      </c>
      <c r="B22" s="2" t="s">
        <v>93</v>
      </c>
      <c r="C22" s="2" t="s">
        <v>94</v>
      </c>
      <c r="D22" s="2" t="s">
        <v>95</v>
      </c>
      <c r="E22" s="2" t="s">
        <v>11</v>
      </c>
      <c r="F22" s="2" t="s">
        <v>22</v>
      </c>
      <c r="G22" s="2">
        <v>700</v>
      </c>
      <c r="H22" s="3">
        <v>45036</v>
      </c>
    </row>
    <row r="23" spans="1:8" ht="14.25" customHeight="1" x14ac:dyDescent="0.25">
      <c r="A23" s="2" t="s">
        <v>96</v>
      </c>
      <c r="B23" s="2" t="s">
        <v>97</v>
      </c>
      <c r="C23" s="2" t="s">
        <v>98</v>
      </c>
      <c r="D23" s="2" t="s">
        <v>99</v>
      </c>
      <c r="E23" s="2" t="s">
        <v>17</v>
      </c>
      <c r="F23" s="2" t="s">
        <v>27</v>
      </c>
      <c r="G23" s="2">
        <v>300</v>
      </c>
      <c r="H23" s="3">
        <v>45040</v>
      </c>
    </row>
    <row r="24" spans="1:8" ht="14.25" customHeight="1" x14ac:dyDescent="0.25">
      <c r="A24" s="2" t="s">
        <v>100</v>
      </c>
      <c r="B24" s="2" t="s">
        <v>101</v>
      </c>
      <c r="C24" s="2" t="s">
        <v>102</v>
      </c>
      <c r="D24" s="2" t="s">
        <v>103</v>
      </c>
      <c r="E24" s="2" t="s">
        <v>11</v>
      </c>
      <c r="F24" s="2" t="s">
        <v>12</v>
      </c>
      <c r="G24" s="2">
        <v>450</v>
      </c>
      <c r="H24" s="3">
        <v>45041</v>
      </c>
    </row>
    <row r="25" spans="1:8" ht="14.25" customHeight="1" x14ac:dyDescent="0.25">
      <c r="A25" s="2" t="s">
        <v>104</v>
      </c>
      <c r="B25" s="2" t="s">
        <v>105</v>
      </c>
      <c r="C25" s="2" t="s">
        <v>106</v>
      </c>
      <c r="D25" s="2" t="s">
        <v>107</v>
      </c>
      <c r="E25" s="2" t="s">
        <v>17</v>
      </c>
      <c r="F25" s="2" t="s">
        <v>22</v>
      </c>
      <c r="G25" s="2">
        <v>700</v>
      </c>
      <c r="H25" s="3">
        <v>45048</v>
      </c>
    </row>
    <row r="26" spans="1:8" ht="14.25" customHeight="1" x14ac:dyDescent="0.25">
      <c r="A26" s="2" t="s">
        <v>108</v>
      </c>
      <c r="B26" s="2" t="s">
        <v>109</v>
      </c>
      <c r="C26" s="2" t="s">
        <v>110</v>
      </c>
      <c r="D26" s="2" t="s">
        <v>111</v>
      </c>
      <c r="E26" s="2" t="s">
        <v>11</v>
      </c>
      <c r="F26" s="2" t="s">
        <v>27</v>
      </c>
      <c r="G26" s="2">
        <v>300</v>
      </c>
      <c r="H26" s="3">
        <v>45071</v>
      </c>
    </row>
    <row r="27" spans="1:8" ht="14.25" customHeight="1" x14ac:dyDescent="0.25">
      <c r="A27" s="2" t="s">
        <v>112</v>
      </c>
      <c r="B27" s="2" t="s">
        <v>113</v>
      </c>
      <c r="C27" s="2" t="s">
        <v>114</v>
      </c>
      <c r="D27" s="2" t="s">
        <v>115</v>
      </c>
      <c r="E27" s="2" t="s">
        <v>17</v>
      </c>
      <c r="F27" s="2" t="s">
        <v>12</v>
      </c>
      <c r="G27" s="2">
        <v>450</v>
      </c>
      <c r="H27" s="3">
        <v>45072</v>
      </c>
    </row>
    <row r="28" spans="1:8" ht="14.25" customHeight="1" x14ac:dyDescent="0.25">
      <c r="A28" s="2" t="s">
        <v>116</v>
      </c>
      <c r="B28" s="2" t="s">
        <v>117</v>
      </c>
      <c r="C28" s="2" t="s">
        <v>118</v>
      </c>
      <c r="D28" s="2" t="s">
        <v>119</v>
      </c>
      <c r="E28" s="2" t="s">
        <v>11</v>
      </c>
      <c r="F28" s="2" t="s">
        <v>22</v>
      </c>
      <c r="G28" s="2">
        <v>700</v>
      </c>
      <c r="H28" s="3">
        <v>45094</v>
      </c>
    </row>
    <row r="29" spans="1:8" ht="14.25" customHeight="1" x14ac:dyDescent="0.25">
      <c r="A29" s="2" t="s">
        <v>120</v>
      </c>
      <c r="B29" s="2" t="s">
        <v>121</v>
      </c>
      <c r="C29" s="2" t="s">
        <v>122</v>
      </c>
      <c r="D29" s="2" t="s">
        <v>123</v>
      </c>
      <c r="E29" s="2" t="s">
        <v>17</v>
      </c>
      <c r="F29" s="2" t="s">
        <v>27</v>
      </c>
      <c r="G29" s="2">
        <v>300</v>
      </c>
      <c r="H29" s="3">
        <v>45101</v>
      </c>
    </row>
    <row r="30" spans="1:8" ht="14.25" customHeight="1" x14ac:dyDescent="0.25">
      <c r="A30" s="2" t="s">
        <v>124</v>
      </c>
      <c r="B30" s="2" t="s">
        <v>125</v>
      </c>
      <c r="C30" s="2" t="s">
        <v>126</v>
      </c>
      <c r="D30" s="2" t="s">
        <v>127</v>
      </c>
      <c r="E30" s="2" t="s">
        <v>11</v>
      </c>
      <c r="F30" s="2" t="s">
        <v>12</v>
      </c>
      <c r="G30" s="2">
        <v>450</v>
      </c>
      <c r="H30" s="3">
        <v>45113</v>
      </c>
    </row>
    <row r="31" spans="1:8" ht="14.25" customHeight="1" x14ac:dyDescent="0.25">
      <c r="A31" s="2" t="s">
        <v>128</v>
      </c>
      <c r="B31" s="2" t="s">
        <v>129</v>
      </c>
      <c r="C31" s="2" t="s">
        <v>130</v>
      </c>
      <c r="D31" s="2" t="s">
        <v>131</v>
      </c>
      <c r="E31" s="2" t="s">
        <v>17</v>
      </c>
      <c r="F31" s="2" t="s">
        <v>22</v>
      </c>
      <c r="G31" s="2">
        <v>700</v>
      </c>
      <c r="H31" s="3">
        <v>45114</v>
      </c>
    </row>
    <row r="32" spans="1:8" ht="14.25" customHeight="1" x14ac:dyDescent="0.25">
      <c r="A32" s="2" t="s">
        <v>132</v>
      </c>
      <c r="B32" s="2" t="s">
        <v>133</v>
      </c>
      <c r="C32" s="2" t="s">
        <v>134</v>
      </c>
      <c r="D32" s="2" t="s">
        <v>135</v>
      </c>
      <c r="E32" s="2" t="s">
        <v>11</v>
      </c>
      <c r="F32" s="2" t="s">
        <v>27</v>
      </c>
      <c r="G32" s="2">
        <v>300</v>
      </c>
      <c r="H32" s="3">
        <v>45131</v>
      </c>
    </row>
    <row r="33" spans="1:8" ht="14.25" customHeight="1" x14ac:dyDescent="0.25">
      <c r="A33" s="2" t="s">
        <v>136</v>
      </c>
      <c r="B33" s="2" t="s">
        <v>137</v>
      </c>
      <c r="C33" s="2" t="s">
        <v>138</v>
      </c>
      <c r="D33" s="2" t="s">
        <v>139</v>
      </c>
      <c r="E33" s="2" t="s">
        <v>17</v>
      </c>
      <c r="F33" s="2" t="s">
        <v>12</v>
      </c>
      <c r="G33" s="2">
        <v>450</v>
      </c>
      <c r="H33" s="3">
        <v>45133</v>
      </c>
    </row>
    <row r="34" spans="1:8" ht="14.25" customHeight="1" x14ac:dyDescent="0.25">
      <c r="A34" s="2" t="s">
        <v>140</v>
      </c>
      <c r="B34" s="2" t="s">
        <v>141</v>
      </c>
      <c r="C34" s="2" t="s">
        <v>142</v>
      </c>
      <c r="D34" s="2" t="s">
        <v>143</v>
      </c>
      <c r="E34" s="2" t="s">
        <v>11</v>
      </c>
      <c r="F34" s="2" t="s">
        <v>22</v>
      </c>
      <c r="G34" s="2">
        <v>700</v>
      </c>
      <c r="H34" s="3">
        <v>45138</v>
      </c>
    </row>
    <row r="35" spans="1:8" ht="14.25" customHeight="1" x14ac:dyDescent="0.25">
      <c r="A35" s="2" t="s">
        <v>144</v>
      </c>
      <c r="B35" s="2" t="s">
        <v>145</v>
      </c>
      <c r="C35" s="2" t="s">
        <v>146</v>
      </c>
      <c r="D35" s="2" t="s">
        <v>147</v>
      </c>
      <c r="E35" s="2" t="s">
        <v>17</v>
      </c>
      <c r="F35" s="2" t="s">
        <v>27</v>
      </c>
      <c r="G35" s="2">
        <v>300</v>
      </c>
      <c r="H35" s="3">
        <v>45142</v>
      </c>
    </row>
    <row r="36" spans="1:8" ht="14.25" customHeight="1" x14ac:dyDescent="0.25">
      <c r="A36" s="2" t="s">
        <v>148</v>
      </c>
      <c r="B36" s="2" t="s">
        <v>149</v>
      </c>
      <c r="C36" s="2" t="s">
        <v>150</v>
      </c>
      <c r="D36" s="2" t="s">
        <v>151</v>
      </c>
      <c r="E36" s="2" t="s">
        <v>11</v>
      </c>
      <c r="F36" s="2" t="s">
        <v>12</v>
      </c>
      <c r="G36" s="2">
        <v>450</v>
      </c>
      <c r="H36" s="3">
        <v>45155</v>
      </c>
    </row>
    <row r="37" spans="1:8" ht="14.25" customHeight="1" x14ac:dyDescent="0.25">
      <c r="A37" s="2" t="s">
        <v>152</v>
      </c>
      <c r="B37" s="2" t="s">
        <v>153</v>
      </c>
      <c r="C37" s="2" t="s">
        <v>154</v>
      </c>
      <c r="D37" s="2" t="s">
        <v>155</v>
      </c>
      <c r="E37" s="2" t="s">
        <v>17</v>
      </c>
      <c r="F37" s="2" t="s">
        <v>22</v>
      </c>
      <c r="G37" s="2">
        <v>700</v>
      </c>
      <c r="H37" s="3">
        <v>45155</v>
      </c>
    </row>
    <row r="38" spans="1:8" ht="14.25" customHeight="1" x14ac:dyDescent="0.25">
      <c r="A38" s="2" t="s">
        <v>156</v>
      </c>
      <c r="B38" s="2" t="s">
        <v>157</v>
      </c>
      <c r="C38" s="2" t="s">
        <v>158</v>
      </c>
      <c r="D38" s="2" t="s">
        <v>159</v>
      </c>
      <c r="E38" s="2" t="s">
        <v>11</v>
      </c>
      <c r="F38" s="2" t="s">
        <v>27</v>
      </c>
      <c r="G38" s="2">
        <v>300</v>
      </c>
      <c r="H38" s="3">
        <v>45178</v>
      </c>
    </row>
    <row r="39" spans="1:8" ht="14.25" customHeight="1" x14ac:dyDescent="0.25">
      <c r="A39" s="2" t="s">
        <v>160</v>
      </c>
      <c r="B39" s="2" t="s">
        <v>161</v>
      </c>
      <c r="C39" s="2" t="s">
        <v>162</v>
      </c>
      <c r="D39" s="2" t="s">
        <v>163</v>
      </c>
      <c r="E39" s="2" t="s">
        <v>17</v>
      </c>
      <c r="F39" s="2" t="s">
        <v>12</v>
      </c>
      <c r="G39" s="2">
        <v>450</v>
      </c>
      <c r="H39" s="3">
        <v>45180</v>
      </c>
    </row>
    <row r="40" spans="1:8" ht="14.25" customHeight="1" x14ac:dyDescent="0.25">
      <c r="A40" s="2" t="s">
        <v>164</v>
      </c>
      <c r="B40" s="2" t="s">
        <v>165</v>
      </c>
      <c r="C40" s="2" t="s">
        <v>166</v>
      </c>
      <c r="D40" s="2" t="s">
        <v>167</v>
      </c>
      <c r="E40" s="2" t="s">
        <v>11</v>
      </c>
      <c r="F40" s="2" t="s">
        <v>22</v>
      </c>
      <c r="G40" s="2">
        <v>700</v>
      </c>
      <c r="H40" s="3">
        <v>45199</v>
      </c>
    </row>
    <row r="41" spans="1:8" ht="14.25" customHeight="1" x14ac:dyDescent="0.25">
      <c r="A41" s="2" t="s">
        <v>168</v>
      </c>
      <c r="B41" s="2" t="s">
        <v>169</v>
      </c>
      <c r="C41" s="2" t="s">
        <v>170</v>
      </c>
      <c r="D41" s="2" t="s">
        <v>171</v>
      </c>
      <c r="E41" s="2" t="s">
        <v>17</v>
      </c>
      <c r="F41" s="2" t="s">
        <v>27</v>
      </c>
      <c r="G41" s="2">
        <v>300</v>
      </c>
      <c r="H41" s="3">
        <v>45213</v>
      </c>
    </row>
    <row r="42" spans="1:8" ht="14.25" customHeight="1" x14ac:dyDescent="0.25">
      <c r="A42" s="2" t="s">
        <v>172</v>
      </c>
      <c r="B42" s="2" t="s">
        <v>173</v>
      </c>
      <c r="C42" s="2" t="s">
        <v>174</v>
      </c>
      <c r="D42" s="2" t="s">
        <v>175</v>
      </c>
      <c r="E42" s="2" t="s">
        <v>11</v>
      </c>
      <c r="F42" s="2" t="s">
        <v>12</v>
      </c>
      <c r="G42" s="2">
        <v>450</v>
      </c>
      <c r="H42" s="3">
        <v>45215</v>
      </c>
    </row>
    <row r="43" spans="1:8" ht="14.25" customHeight="1" x14ac:dyDescent="0.25">
      <c r="A43" s="2" t="s">
        <v>176</v>
      </c>
      <c r="B43" s="2" t="s">
        <v>177</v>
      </c>
      <c r="C43" s="2" t="s">
        <v>178</v>
      </c>
      <c r="D43" s="2" t="s">
        <v>179</v>
      </c>
      <c r="E43" s="2" t="s">
        <v>17</v>
      </c>
      <c r="F43" s="2" t="s">
        <v>22</v>
      </c>
      <c r="G43" s="2">
        <v>700</v>
      </c>
      <c r="H43" s="3">
        <v>45224</v>
      </c>
    </row>
    <row r="44" spans="1:8" ht="14.25" customHeight="1" x14ac:dyDescent="0.25">
      <c r="A44" s="2" t="s">
        <v>180</v>
      </c>
      <c r="B44" s="2" t="s">
        <v>181</v>
      </c>
      <c r="C44" s="2" t="s">
        <v>182</v>
      </c>
      <c r="D44" s="2" t="s">
        <v>183</v>
      </c>
      <c r="E44" s="2" t="s">
        <v>11</v>
      </c>
      <c r="F44" s="2" t="s">
        <v>27</v>
      </c>
      <c r="G44" s="2">
        <v>300</v>
      </c>
      <c r="H44" s="3">
        <v>45230</v>
      </c>
    </row>
    <row r="45" spans="1:8" ht="14.25" customHeight="1" x14ac:dyDescent="0.25">
      <c r="A45" s="2" t="s">
        <v>184</v>
      </c>
      <c r="B45" s="2" t="s">
        <v>185</v>
      </c>
      <c r="C45" s="2" t="s">
        <v>186</v>
      </c>
      <c r="D45" s="2" t="s">
        <v>187</v>
      </c>
      <c r="E45" s="2" t="s">
        <v>17</v>
      </c>
      <c r="F45" s="2" t="s">
        <v>12</v>
      </c>
      <c r="G45" s="2">
        <v>450</v>
      </c>
      <c r="H45" s="3">
        <v>45233</v>
      </c>
    </row>
    <row r="46" spans="1:8" ht="14.25" customHeight="1" x14ac:dyDescent="0.25">
      <c r="A46" s="2" t="s">
        <v>188</v>
      </c>
      <c r="B46" s="2" t="s">
        <v>189</v>
      </c>
      <c r="C46" s="2" t="s">
        <v>190</v>
      </c>
      <c r="D46" s="2" t="s">
        <v>191</v>
      </c>
      <c r="E46" s="2" t="s">
        <v>11</v>
      </c>
      <c r="F46" s="2" t="s">
        <v>22</v>
      </c>
      <c r="G46" s="2">
        <v>700</v>
      </c>
      <c r="H46" s="3">
        <v>45260</v>
      </c>
    </row>
    <row r="47" spans="1:8" ht="14.25" customHeight="1" x14ac:dyDescent="0.25">
      <c r="A47" s="2" t="s">
        <v>192</v>
      </c>
      <c r="B47" s="2" t="s">
        <v>193</v>
      </c>
      <c r="C47" s="2" t="s">
        <v>194</v>
      </c>
      <c r="D47" s="2" t="s">
        <v>195</v>
      </c>
      <c r="E47" s="2" t="s">
        <v>17</v>
      </c>
      <c r="F47" s="2" t="s">
        <v>27</v>
      </c>
      <c r="G47" s="2">
        <v>300</v>
      </c>
      <c r="H47" s="3">
        <v>45263</v>
      </c>
    </row>
    <row r="48" spans="1:8" ht="14.25" customHeight="1" x14ac:dyDescent="0.25">
      <c r="A48" s="2" t="s">
        <v>196</v>
      </c>
      <c r="B48" s="2" t="s">
        <v>197</v>
      </c>
      <c r="C48" s="2" t="s">
        <v>198</v>
      </c>
      <c r="D48" s="2" t="s">
        <v>199</v>
      </c>
      <c r="E48" s="2" t="s">
        <v>11</v>
      </c>
      <c r="F48" s="2" t="s">
        <v>12</v>
      </c>
      <c r="G48" s="2">
        <v>450</v>
      </c>
      <c r="H48" s="3">
        <v>45269</v>
      </c>
    </row>
    <row r="49" spans="1:8" ht="14.25" customHeight="1" x14ac:dyDescent="0.25">
      <c r="A49" s="2" t="s">
        <v>200</v>
      </c>
      <c r="B49" s="2" t="s">
        <v>201</v>
      </c>
      <c r="C49" s="2" t="s">
        <v>202</v>
      </c>
      <c r="D49" s="2" t="s">
        <v>203</v>
      </c>
      <c r="E49" s="2" t="s">
        <v>17</v>
      </c>
      <c r="F49" s="2" t="s">
        <v>22</v>
      </c>
      <c r="G49" s="2">
        <v>700</v>
      </c>
      <c r="H49" s="3">
        <v>45299</v>
      </c>
    </row>
    <row r="50" spans="1:8" ht="14.25" customHeight="1" x14ac:dyDescent="0.25">
      <c r="A50" s="2" t="s">
        <v>204</v>
      </c>
      <c r="B50" s="2" t="s">
        <v>205</v>
      </c>
      <c r="C50" s="2" t="s">
        <v>206</v>
      </c>
      <c r="D50" s="2" t="s">
        <v>207</v>
      </c>
      <c r="E50" s="2" t="s">
        <v>11</v>
      </c>
      <c r="F50" s="2" t="s">
        <v>27</v>
      </c>
      <c r="G50" s="2">
        <v>300</v>
      </c>
      <c r="H50" s="3">
        <v>45307</v>
      </c>
    </row>
    <row r="51" spans="1:8" ht="14.25" customHeight="1" x14ac:dyDescent="0.25">
      <c r="A51" s="2" t="s">
        <v>208</v>
      </c>
      <c r="B51" s="2" t="s">
        <v>209</v>
      </c>
      <c r="C51" s="2" t="s">
        <v>210</v>
      </c>
      <c r="D51" s="2" t="s">
        <v>211</v>
      </c>
      <c r="E51" s="2" t="s">
        <v>17</v>
      </c>
      <c r="F51" s="2" t="s">
        <v>12</v>
      </c>
      <c r="G51" s="2">
        <v>450</v>
      </c>
      <c r="H51" s="3">
        <v>45313</v>
      </c>
    </row>
    <row r="52" spans="1:8" ht="14.25" customHeight="1" x14ac:dyDescent="0.25">
      <c r="A52" s="2" t="s">
        <v>212</v>
      </c>
      <c r="B52" s="2" t="s">
        <v>213</v>
      </c>
      <c r="C52" s="2" t="s">
        <v>214</v>
      </c>
      <c r="D52" s="2" t="s">
        <v>215</v>
      </c>
      <c r="E52" s="2" t="s">
        <v>11</v>
      </c>
      <c r="F52" s="2" t="s">
        <v>22</v>
      </c>
      <c r="G52" s="2">
        <v>700</v>
      </c>
      <c r="H52" s="3">
        <v>45313</v>
      </c>
    </row>
    <row r="53" spans="1:8" ht="14.25" customHeight="1" x14ac:dyDescent="0.25">
      <c r="A53" s="2" t="s">
        <v>216</v>
      </c>
      <c r="B53" s="2" t="s">
        <v>217</v>
      </c>
      <c r="C53" s="2" t="s">
        <v>218</v>
      </c>
      <c r="D53" s="2" t="s">
        <v>219</v>
      </c>
      <c r="E53" s="2" t="s">
        <v>17</v>
      </c>
      <c r="F53" s="2" t="s">
        <v>27</v>
      </c>
      <c r="G53" s="2">
        <v>300</v>
      </c>
      <c r="H53" s="3">
        <v>45315</v>
      </c>
    </row>
    <row r="54" spans="1:8" ht="14.25" customHeight="1" x14ac:dyDescent="0.25">
      <c r="A54" s="2" t="s">
        <v>220</v>
      </c>
      <c r="B54" s="2" t="s">
        <v>221</v>
      </c>
      <c r="C54" s="2" t="s">
        <v>222</v>
      </c>
      <c r="D54" s="2" t="s">
        <v>223</v>
      </c>
      <c r="E54" s="2" t="s">
        <v>11</v>
      </c>
      <c r="F54" s="2" t="s">
        <v>12</v>
      </c>
      <c r="G54" s="2">
        <v>450</v>
      </c>
      <c r="H54" s="3">
        <v>45322</v>
      </c>
    </row>
    <row r="55" spans="1:8" ht="14.25" customHeight="1" x14ac:dyDescent="0.25">
      <c r="A55" s="2" t="s">
        <v>224</v>
      </c>
      <c r="B55" s="2" t="s">
        <v>225</v>
      </c>
      <c r="C55" s="2" t="s">
        <v>226</v>
      </c>
      <c r="D55" s="2" t="s">
        <v>227</v>
      </c>
      <c r="E55" s="2" t="s">
        <v>17</v>
      </c>
      <c r="F55" s="2" t="s">
        <v>22</v>
      </c>
      <c r="G55" s="2">
        <v>700</v>
      </c>
      <c r="H55" s="3">
        <v>45322</v>
      </c>
    </row>
    <row r="56" spans="1:8" ht="14.25" customHeight="1" x14ac:dyDescent="0.25">
      <c r="A56" s="2" t="s">
        <v>228</v>
      </c>
      <c r="B56" s="2" t="s">
        <v>229</v>
      </c>
      <c r="C56" s="2" t="s">
        <v>230</v>
      </c>
      <c r="D56" s="2" t="s">
        <v>231</v>
      </c>
      <c r="E56" s="2" t="s">
        <v>11</v>
      </c>
      <c r="F56" s="2" t="s">
        <v>27</v>
      </c>
      <c r="G56" s="2">
        <v>300</v>
      </c>
      <c r="H56" s="3">
        <v>45330</v>
      </c>
    </row>
    <row r="57" spans="1:8" ht="14.25" customHeight="1" x14ac:dyDescent="0.25">
      <c r="A57" s="2" t="s">
        <v>232</v>
      </c>
      <c r="B57" s="2" t="s">
        <v>233</v>
      </c>
      <c r="C57" s="2" t="s">
        <v>234</v>
      </c>
      <c r="D57" s="2" t="s">
        <v>235</v>
      </c>
      <c r="E57" s="2" t="s">
        <v>17</v>
      </c>
      <c r="F57" s="2" t="s">
        <v>12</v>
      </c>
      <c r="G57" s="2">
        <v>450</v>
      </c>
      <c r="H57" s="3">
        <v>45331</v>
      </c>
    </row>
    <row r="58" spans="1:8" ht="14.25" customHeight="1" x14ac:dyDescent="0.25">
      <c r="A58" s="2" t="s">
        <v>236</v>
      </c>
      <c r="B58" s="2" t="s">
        <v>237</v>
      </c>
      <c r="C58" s="2" t="s">
        <v>238</v>
      </c>
      <c r="D58" s="2" t="s">
        <v>239</v>
      </c>
      <c r="E58" s="2" t="s">
        <v>11</v>
      </c>
      <c r="F58" s="2" t="s">
        <v>22</v>
      </c>
      <c r="G58" s="2">
        <v>700</v>
      </c>
      <c r="H58" s="3">
        <v>45333</v>
      </c>
    </row>
    <row r="59" spans="1:8" ht="14.25" customHeight="1" x14ac:dyDescent="0.25">
      <c r="A59" s="2" t="s">
        <v>240</v>
      </c>
      <c r="B59" s="2" t="s">
        <v>241</v>
      </c>
      <c r="C59" s="2" t="s">
        <v>242</v>
      </c>
      <c r="D59" s="2" t="s">
        <v>243</v>
      </c>
      <c r="E59" s="2" t="s">
        <v>17</v>
      </c>
      <c r="F59" s="2" t="s">
        <v>27</v>
      </c>
      <c r="G59" s="2">
        <v>300</v>
      </c>
      <c r="H59" s="3">
        <v>45338</v>
      </c>
    </row>
    <row r="60" spans="1:8" ht="14.25" customHeight="1" x14ac:dyDescent="0.25">
      <c r="A60" s="2" t="s">
        <v>244</v>
      </c>
      <c r="B60" s="2" t="s">
        <v>245</v>
      </c>
      <c r="C60" s="2" t="s">
        <v>246</v>
      </c>
      <c r="D60" s="2" t="s">
        <v>247</v>
      </c>
      <c r="E60" s="2" t="s">
        <v>11</v>
      </c>
      <c r="F60" s="2" t="s">
        <v>12</v>
      </c>
      <c r="G60" s="2">
        <v>450</v>
      </c>
      <c r="H60" s="3">
        <v>45343</v>
      </c>
    </row>
    <row r="61" spans="1:8" ht="14.25" customHeight="1" x14ac:dyDescent="0.25">
      <c r="A61" s="2" t="s">
        <v>248</v>
      </c>
      <c r="B61" s="2" t="s">
        <v>249</v>
      </c>
      <c r="C61" s="2" t="s">
        <v>250</v>
      </c>
      <c r="D61" s="2" t="s">
        <v>251</v>
      </c>
      <c r="E61" s="2" t="s">
        <v>17</v>
      </c>
      <c r="F61" s="2" t="s">
        <v>22</v>
      </c>
      <c r="G61" s="2">
        <v>700</v>
      </c>
      <c r="H61" s="3">
        <v>45345</v>
      </c>
    </row>
    <row r="62" spans="1:8" ht="14.25" customHeight="1" x14ac:dyDescent="0.25">
      <c r="A62" s="2" t="s">
        <v>252</v>
      </c>
      <c r="B62" s="2" t="s">
        <v>253</v>
      </c>
      <c r="C62" s="2" t="s">
        <v>254</v>
      </c>
      <c r="D62" s="2" t="s">
        <v>255</v>
      </c>
      <c r="E62" s="2" t="s">
        <v>11</v>
      </c>
      <c r="F62" s="2" t="s">
        <v>27</v>
      </c>
      <c r="G62" s="2">
        <v>300</v>
      </c>
      <c r="H62" s="3">
        <v>45349</v>
      </c>
    </row>
    <row r="63" spans="1:8" ht="14.25" customHeight="1" x14ac:dyDescent="0.25">
      <c r="A63" s="2" t="s">
        <v>256</v>
      </c>
      <c r="B63" s="2" t="s">
        <v>257</v>
      </c>
      <c r="C63" s="2" t="s">
        <v>258</v>
      </c>
      <c r="D63" s="2" t="s">
        <v>259</v>
      </c>
      <c r="E63" s="2" t="s">
        <v>17</v>
      </c>
      <c r="F63" s="2" t="s">
        <v>12</v>
      </c>
      <c r="G63" s="2">
        <v>450</v>
      </c>
      <c r="H63" s="3">
        <v>45350</v>
      </c>
    </row>
    <row r="64" spans="1:8" ht="14.25" customHeight="1" x14ac:dyDescent="0.25">
      <c r="A64" s="2" t="s">
        <v>260</v>
      </c>
      <c r="B64" s="2" t="s">
        <v>261</v>
      </c>
      <c r="C64" s="2" t="s">
        <v>262</v>
      </c>
      <c r="D64" s="2" t="s">
        <v>263</v>
      </c>
      <c r="E64" s="2" t="s">
        <v>11</v>
      </c>
      <c r="F64" s="2" t="s">
        <v>22</v>
      </c>
      <c r="G64" s="2">
        <v>700</v>
      </c>
      <c r="H64" s="3">
        <v>45350</v>
      </c>
    </row>
    <row r="65" spans="1:8" ht="14.25" customHeight="1" x14ac:dyDescent="0.25">
      <c r="A65" s="2" t="s">
        <v>264</v>
      </c>
      <c r="B65" s="2" t="s">
        <v>265</v>
      </c>
      <c r="C65" s="2" t="s">
        <v>266</v>
      </c>
      <c r="D65" s="2" t="s">
        <v>267</v>
      </c>
      <c r="E65" s="2" t="s">
        <v>17</v>
      </c>
      <c r="F65" s="2" t="s">
        <v>27</v>
      </c>
      <c r="G65" s="2">
        <v>300</v>
      </c>
      <c r="H65" s="3">
        <v>45353</v>
      </c>
    </row>
    <row r="66" spans="1:8" ht="14.25" customHeight="1" x14ac:dyDescent="0.25">
      <c r="A66" s="2" t="s">
        <v>268</v>
      </c>
      <c r="B66" s="2" t="s">
        <v>269</v>
      </c>
      <c r="C66" s="2" t="s">
        <v>270</v>
      </c>
      <c r="D66" s="2" t="s">
        <v>271</v>
      </c>
      <c r="E66" s="2" t="s">
        <v>11</v>
      </c>
      <c r="F66" s="2" t="s">
        <v>12</v>
      </c>
      <c r="G66" s="2">
        <v>450</v>
      </c>
      <c r="H66" s="3">
        <v>45353</v>
      </c>
    </row>
    <row r="67" spans="1:8" ht="14.25" customHeight="1" x14ac:dyDescent="0.25">
      <c r="A67" s="2" t="s">
        <v>272</v>
      </c>
      <c r="B67" s="2" t="s">
        <v>273</v>
      </c>
      <c r="C67" s="2" t="s">
        <v>274</v>
      </c>
      <c r="D67" s="2" t="s">
        <v>275</v>
      </c>
      <c r="E67" s="2" t="s">
        <v>17</v>
      </c>
      <c r="F67" s="2" t="s">
        <v>22</v>
      </c>
      <c r="G67" s="2">
        <v>700</v>
      </c>
      <c r="H67" s="3">
        <v>45368</v>
      </c>
    </row>
    <row r="68" spans="1:8" ht="14.25" customHeight="1" x14ac:dyDescent="0.25">
      <c r="A68" s="2" t="s">
        <v>276</v>
      </c>
      <c r="B68" s="2" t="s">
        <v>277</v>
      </c>
      <c r="C68" s="2" t="s">
        <v>278</v>
      </c>
      <c r="D68" s="2" t="s">
        <v>279</v>
      </c>
      <c r="E68" s="2" t="s">
        <v>11</v>
      </c>
      <c r="F68" s="2" t="s">
        <v>27</v>
      </c>
      <c r="G68" s="2">
        <v>300</v>
      </c>
      <c r="H68" s="3">
        <v>45373</v>
      </c>
    </row>
    <row r="69" spans="1:8" ht="14.25" customHeight="1" x14ac:dyDescent="0.25">
      <c r="A69" s="2" t="s">
        <v>280</v>
      </c>
      <c r="B69" s="2" t="s">
        <v>281</v>
      </c>
      <c r="C69" s="2" t="s">
        <v>282</v>
      </c>
      <c r="D69" s="2" t="s">
        <v>283</v>
      </c>
      <c r="E69" s="2" t="s">
        <v>17</v>
      </c>
      <c r="F69" s="2" t="s">
        <v>12</v>
      </c>
      <c r="G69" s="2">
        <v>450</v>
      </c>
      <c r="H69" s="3">
        <v>45375</v>
      </c>
    </row>
    <row r="70" spans="1:8" ht="14.25" customHeight="1" x14ac:dyDescent="0.25">
      <c r="A70" s="2" t="s">
        <v>284</v>
      </c>
      <c r="B70" s="2" t="s">
        <v>285</v>
      </c>
      <c r="C70" s="2" t="s">
        <v>286</v>
      </c>
      <c r="D70" s="2" t="s">
        <v>287</v>
      </c>
      <c r="E70" s="2" t="s">
        <v>11</v>
      </c>
      <c r="F70" s="2" t="s">
        <v>22</v>
      </c>
      <c r="G70" s="2">
        <v>700</v>
      </c>
      <c r="H70" s="3">
        <v>45391</v>
      </c>
    </row>
    <row r="71" spans="1:8" ht="14.25" customHeight="1" x14ac:dyDescent="0.25">
      <c r="A71" s="2" t="s">
        <v>288</v>
      </c>
      <c r="B71" s="2" t="s">
        <v>289</v>
      </c>
      <c r="C71" s="2" t="s">
        <v>290</v>
      </c>
      <c r="D71" s="2" t="s">
        <v>291</v>
      </c>
      <c r="E71" s="2" t="s">
        <v>17</v>
      </c>
      <c r="F71" s="2" t="s">
        <v>27</v>
      </c>
      <c r="G71" s="2">
        <v>300</v>
      </c>
      <c r="H71" s="3">
        <v>45399</v>
      </c>
    </row>
    <row r="72" spans="1:8" ht="14.25" customHeight="1" x14ac:dyDescent="0.25">
      <c r="A72" s="2" t="s">
        <v>292</v>
      </c>
      <c r="B72" s="2" t="s">
        <v>293</v>
      </c>
      <c r="C72" s="2" t="s">
        <v>294</v>
      </c>
      <c r="D72" s="2" t="s">
        <v>295</v>
      </c>
      <c r="E72" s="2" t="s">
        <v>11</v>
      </c>
      <c r="F72" s="2" t="s">
        <v>12</v>
      </c>
      <c r="G72" s="2">
        <v>450</v>
      </c>
      <c r="H72" s="3">
        <v>45410</v>
      </c>
    </row>
    <row r="73" spans="1:8" ht="14.25" customHeight="1" x14ac:dyDescent="0.25">
      <c r="A73" s="2" t="s">
        <v>296</v>
      </c>
      <c r="B73" s="2" t="s">
        <v>297</v>
      </c>
      <c r="C73" s="2" t="s">
        <v>298</v>
      </c>
      <c r="D73" s="2" t="s">
        <v>299</v>
      </c>
      <c r="E73" s="2" t="s">
        <v>17</v>
      </c>
      <c r="F73" s="2" t="s">
        <v>22</v>
      </c>
      <c r="G73" s="2">
        <v>700</v>
      </c>
      <c r="H73" s="3">
        <v>45416</v>
      </c>
    </row>
    <row r="74" spans="1:8" ht="14.25" customHeight="1" x14ac:dyDescent="0.25">
      <c r="A74" s="2" t="s">
        <v>300</v>
      </c>
      <c r="B74" s="2" t="s">
        <v>301</v>
      </c>
      <c r="C74" s="2" t="s">
        <v>302</v>
      </c>
      <c r="D74" s="2" t="s">
        <v>303</v>
      </c>
      <c r="E74" s="2" t="s">
        <v>11</v>
      </c>
      <c r="F74" s="2" t="s">
        <v>27</v>
      </c>
      <c r="G74" s="2">
        <v>300</v>
      </c>
      <c r="H74" s="3">
        <v>45425</v>
      </c>
    </row>
    <row r="75" spans="1:8" ht="14.25" customHeight="1" x14ac:dyDescent="0.25">
      <c r="A75" s="2" t="s">
        <v>304</v>
      </c>
      <c r="B75" s="2" t="s">
        <v>305</v>
      </c>
      <c r="C75" s="2" t="s">
        <v>306</v>
      </c>
      <c r="D75" s="2" t="s">
        <v>307</v>
      </c>
      <c r="E75" s="2" t="s">
        <v>17</v>
      </c>
      <c r="F75" s="2" t="s">
        <v>12</v>
      </c>
      <c r="G75" s="2">
        <v>450</v>
      </c>
      <c r="H75" s="3">
        <v>45437</v>
      </c>
    </row>
    <row r="76" spans="1:8" ht="14.25" customHeight="1" x14ac:dyDescent="0.25">
      <c r="A76" s="2" t="s">
        <v>308</v>
      </c>
      <c r="B76" s="2" t="s">
        <v>309</v>
      </c>
      <c r="C76" s="2" t="s">
        <v>310</v>
      </c>
      <c r="D76" s="2" t="s">
        <v>311</v>
      </c>
      <c r="E76" s="2" t="s">
        <v>11</v>
      </c>
      <c r="F76" s="2" t="s">
        <v>22</v>
      </c>
      <c r="G76" s="2">
        <v>700</v>
      </c>
      <c r="H76" s="3">
        <v>45456</v>
      </c>
    </row>
    <row r="77" spans="1:8" ht="14.25" customHeight="1" x14ac:dyDescent="0.25">
      <c r="A77" s="2" t="s">
        <v>312</v>
      </c>
      <c r="B77" s="2" t="s">
        <v>313</v>
      </c>
      <c r="C77" s="2" t="s">
        <v>314</v>
      </c>
      <c r="D77" s="2" t="s">
        <v>315</v>
      </c>
      <c r="E77" s="2" t="s">
        <v>17</v>
      </c>
      <c r="F77" s="2" t="s">
        <v>27</v>
      </c>
      <c r="G77" s="2">
        <v>300</v>
      </c>
      <c r="H77" s="3">
        <v>45459</v>
      </c>
    </row>
    <row r="78" spans="1:8" ht="14.25" customHeight="1" x14ac:dyDescent="0.25">
      <c r="A78" s="2" t="s">
        <v>316</v>
      </c>
      <c r="B78" s="2" t="s">
        <v>317</v>
      </c>
      <c r="C78" s="2" t="s">
        <v>318</v>
      </c>
      <c r="D78" s="2" t="s">
        <v>319</v>
      </c>
      <c r="E78" s="2" t="s">
        <v>11</v>
      </c>
      <c r="F78" s="2" t="s">
        <v>12</v>
      </c>
      <c r="G78" s="2">
        <v>450</v>
      </c>
      <c r="H78" s="3">
        <v>45461</v>
      </c>
    </row>
    <row r="79" spans="1:8" ht="14.25" customHeight="1" x14ac:dyDescent="0.25">
      <c r="A79" s="2" t="s">
        <v>320</v>
      </c>
      <c r="B79" s="2" t="s">
        <v>321</v>
      </c>
      <c r="C79" s="2" t="s">
        <v>322</v>
      </c>
      <c r="D79" s="2" t="s">
        <v>323</v>
      </c>
      <c r="E79" s="2" t="s">
        <v>17</v>
      </c>
      <c r="F79" s="2" t="s">
        <v>22</v>
      </c>
      <c r="G79" s="2">
        <v>700</v>
      </c>
      <c r="H79" s="3">
        <v>45466</v>
      </c>
    </row>
    <row r="80" spans="1:8" ht="14.25" customHeight="1" x14ac:dyDescent="0.25">
      <c r="A80" s="2" t="s">
        <v>324</v>
      </c>
      <c r="B80" s="2" t="s">
        <v>325</v>
      </c>
      <c r="C80" s="2" t="s">
        <v>326</v>
      </c>
      <c r="D80" s="2" t="s">
        <v>327</v>
      </c>
      <c r="E80" s="2" t="s">
        <v>11</v>
      </c>
      <c r="F80" s="2" t="s">
        <v>27</v>
      </c>
      <c r="G80" s="2">
        <v>300</v>
      </c>
      <c r="H80" s="3">
        <v>45470</v>
      </c>
    </row>
    <row r="81" spans="1:8" ht="14.25" customHeight="1" x14ac:dyDescent="0.25">
      <c r="A81" s="2" t="s">
        <v>328</v>
      </c>
      <c r="B81" s="2" t="s">
        <v>329</v>
      </c>
      <c r="C81" s="2" t="s">
        <v>330</v>
      </c>
      <c r="D81" s="2" t="s">
        <v>331</v>
      </c>
      <c r="E81" s="2" t="s">
        <v>17</v>
      </c>
      <c r="F81" s="2" t="s">
        <v>12</v>
      </c>
      <c r="G81" s="2">
        <v>450</v>
      </c>
      <c r="H81" s="3">
        <v>45471</v>
      </c>
    </row>
    <row r="82" spans="1:8" ht="14.25" customHeight="1" x14ac:dyDescent="0.25">
      <c r="A82" s="2" t="s">
        <v>332</v>
      </c>
      <c r="B82" s="2" t="s">
        <v>333</v>
      </c>
      <c r="C82" s="2" t="s">
        <v>334</v>
      </c>
      <c r="D82" s="2" t="s">
        <v>335</v>
      </c>
      <c r="E82" s="2" t="s">
        <v>11</v>
      </c>
      <c r="F82" s="2" t="s">
        <v>22</v>
      </c>
      <c r="G82" s="2">
        <v>700</v>
      </c>
      <c r="H82" s="3">
        <v>45474</v>
      </c>
    </row>
    <row r="83" spans="1:8" ht="14.25" customHeight="1" x14ac:dyDescent="0.25">
      <c r="A83" s="2" t="s">
        <v>336</v>
      </c>
      <c r="B83" s="2" t="s">
        <v>337</v>
      </c>
      <c r="C83" s="2" t="s">
        <v>338</v>
      </c>
      <c r="D83" s="2" t="s">
        <v>339</v>
      </c>
      <c r="E83" s="2" t="s">
        <v>17</v>
      </c>
      <c r="F83" s="2" t="s">
        <v>27</v>
      </c>
      <c r="G83" s="2">
        <v>300</v>
      </c>
      <c r="H83" s="3">
        <v>45476</v>
      </c>
    </row>
    <row r="84" spans="1:8" ht="14.25" customHeight="1" x14ac:dyDescent="0.25">
      <c r="A84" s="2" t="s">
        <v>340</v>
      </c>
      <c r="B84" s="2" t="s">
        <v>341</v>
      </c>
      <c r="C84" s="2" t="s">
        <v>342</v>
      </c>
      <c r="D84" s="2" t="s">
        <v>343</v>
      </c>
      <c r="E84" s="2" t="s">
        <v>11</v>
      </c>
      <c r="F84" s="2" t="s">
        <v>12</v>
      </c>
      <c r="G84" s="2">
        <v>450</v>
      </c>
      <c r="H84" s="3">
        <v>45484</v>
      </c>
    </row>
    <row r="85" spans="1:8" ht="14.25" customHeight="1" x14ac:dyDescent="0.25">
      <c r="A85" s="2" t="s">
        <v>344</v>
      </c>
      <c r="B85" s="2" t="s">
        <v>345</v>
      </c>
      <c r="C85" s="2" t="s">
        <v>346</v>
      </c>
      <c r="D85" s="2" t="s">
        <v>347</v>
      </c>
      <c r="E85" s="2" t="s">
        <v>17</v>
      </c>
      <c r="F85" s="2" t="s">
        <v>22</v>
      </c>
      <c r="G85" s="2">
        <v>700</v>
      </c>
      <c r="H85" s="3">
        <v>45506</v>
      </c>
    </row>
    <row r="86" spans="1:8" ht="14.25" customHeight="1" x14ac:dyDescent="0.25">
      <c r="A86" s="2" t="s">
        <v>348</v>
      </c>
      <c r="B86" s="2" t="s">
        <v>349</v>
      </c>
      <c r="C86" s="2" t="s">
        <v>350</v>
      </c>
      <c r="D86" s="2" t="s">
        <v>351</v>
      </c>
      <c r="E86" s="2" t="s">
        <v>11</v>
      </c>
      <c r="F86" s="2" t="s">
        <v>27</v>
      </c>
      <c r="G86" s="2">
        <v>300</v>
      </c>
      <c r="H86" s="3">
        <v>45513</v>
      </c>
    </row>
    <row r="87" spans="1:8" ht="14.25" customHeight="1" x14ac:dyDescent="0.25">
      <c r="A87" s="2" t="s">
        <v>352</v>
      </c>
      <c r="B87" s="2" t="s">
        <v>353</v>
      </c>
      <c r="C87" s="2" t="s">
        <v>354</v>
      </c>
      <c r="D87" s="2" t="s">
        <v>355</v>
      </c>
      <c r="E87" s="2" t="s">
        <v>17</v>
      </c>
      <c r="F87" s="2" t="s">
        <v>12</v>
      </c>
      <c r="G87" s="2">
        <v>450</v>
      </c>
      <c r="H87" s="3">
        <v>45518</v>
      </c>
    </row>
    <row r="88" spans="1:8" ht="14.25" customHeight="1" x14ac:dyDescent="0.25">
      <c r="A88" s="2" t="s">
        <v>356</v>
      </c>
      <c r="B88" s="2" t="s">
        <v>357</v>
      </c>
      <c r="C88" s="2" t="s">
        <v>358</v>
      </c>
      <c r="D88" s="2" t="s">
        <v>359</v>
      </c>
      <c r="E88" s="2" t="s">
        <v>11</v>
      </c>
      <c r="F88" s="2" t="s">
        <v>22</v>
      </c>
      <c r="G88" s="2">
        <v>700</v>
      </c>
      <c r="H88" s="3">
        <v>45526</v>
      </c>
    </row>
    <row r="89" spans="1:8" ht="14.25" customHeight="1" x14ac:dyDescent="0.25">
      <c r="A89" s="2" t="s">
        <v>360</v>
      </c>
      <c r="B89" s="2" t="s">
        <v>361</v>
      </c>
      <c r="C89" s="2" t="s">
        <v>362</v>
      </c>
      <c r="D89" s="2" t="s">
        <v>363</v>
      </c>
      <c r="E89" s="2" t="s">
        <v>17</v>
      </c>
      <c r="F89" s="2" t="s">
        <v>27</v>
      </c>
      <c r="G89" s="2">
        <v>300</v>
      </c>
      <c r="H89" s="3">
        <v>45530</v>
      </c>
    </row>
    <row r="90" spans="1:8" ht="14.25" customHeight="1" x14ac:dyDescent="0.25">
      <c r="A90" s="2" t="s">
        <v>364</v>
      </c>
      <c r="B90" s="2" t="s">
        <v>365</v>
      </c>
      <c r="C90" s="2" t="s">
        <v>366</v>
      </c>
      <c r="D90" s="2" t="s">
        <v>367</v>
      </c>
      <c r="E90" s="2" t="s">
        <v>11</v>
      </c>
      <c r="F90" s="2" t="s">
        <v>12</v>
      </c>
      <c r="G90" s="2">
        <v>450</v>
      </c>
      <c r="H90" s="3">
        <v>45533</v>
      </c>
    </row>
    <row r="91" spans="1:8" ht="14.25" customHeight="1" x14ac:dyDescent="0.25">
      <c r="A91" s="2" t="s">
        <v>368</v>
      </c>
      <c r="B91" s="2" t="s">
        <v>369</v>
      </c>
      <c r="C91" s="2" t="s">
        <v>370</v>
      </c>
      <c r="D91" s="2" t="s">
        <v>371</v>
      </c>
      <c r="E91" s="2" t="s">
        <v>17</v>
      </c>
      <c r="F91" s="2" t="s">
        <v>22</v>
      </c>
      <c r="G91" s="2">
        <v>700</v>
      </c>
      <c r="H91" s="3">
        <v>45534</v>
      </c>
    </row>
    <row r="92" spans="1:8" ht="14.25" customHeight="1" x14ac:dyDescent="0.25">
      <c r="A92" s="2" t="s">
        <v>372</v>
      </c>
      <c r="B92" s="2" t="s">
        <v>373</v>
      </c>
      <c r="C92" s="2" t="s">
        <v>374</v>
      </c>
      <c r="D92" s="2" t="s">
        <v>375</v>
      </c>
      <c r="E92" s="2" t="s">
        <v>11</v>
      </c>
      <c r="F92" s="2" t="s">
        <v>27</v>
      </c>
      <c r="G92" s="2">
        <v>300</v>
      </c>
      <c r="H92" s="3">
        <v>45560</v>
      </c>
    </row>
    <row r="93" spans="1:8" ht="14.25" customHeight="1" x14ac:dyDescent="0.25">
      <c r="A93" s="2" t="s">
        <v>376</v>
      </c>
      <c r="B93" s="2" t="s">
        <v>377</v>
      </c>
      <c r="C93" s="2" t="s">
        <v>378</v>
      </c>
      <c r="D93" s="2" t="s">
        <v>379</v>
      </c>
      <c r="E93" s="2" t="s">
        <v>17</v>
      </c>
      <c r="F93" s="2" t="s">
        <v>12</v>
      </c>
      <c r="G93" s="2">
        <v>450</v>
      </c>
      <c r="H93" s="3">
        <v>45562</v>
      </c>
    </row>
    <row r="94" spans="1:8" ht="14.25" customHeight="1" x14ac:dyDescent="0.25">
      <c r="A94" s="2" t="s">
        <v>380</v>
      </c>
      <c r="B94" s="2" t="s">
        <v>381</v>
      </c>
      <c r="C94" s="2" t="s">
        <v>382</v>
      </c>
      <c r="D94" s="2" t="s">
        <v>383</v>
      </c>
      <c r="E94" s="2" t="s">
        <v>11</v>
      </c>
      <c r="F94" s="2" t="s">
        <v>22</v>
      </c>
      <c r="G94" s="2">
        <v>700</v>
      </c>
      <c r="H94" s="3">
        <v>45566</v>
      </c>
    </row>
    <row r="95" spans="1:8" ht="14.25" customHeight="1" x14ac:dyDescent="0.25">
      <c r="A95" s="2" t="s">
        <v>384</v>
      </c>
      <c r="B95" s="2" t="s">
        <v>385</v>
      </c>
      <c r="C95" s="2" t="s">
        <v>386</v>
      </c>
      <c r="D95" s="2" t="s">
        <v>387</v>
      </c>
      <c r="E95" s="2" t="s">
        <v>17</v>
      </c>
      <c r="F95" s="2" t="s">
        <v>27</v>
      </c>
      <c r="G95" s="2">
        <v>300</v>
      </c>
      <c r="H95" s="3">
        <v>45571</v>
      </c>
    </row>
    <row r="96" spans="1:8" ht="14.25" customHeight="1" x14ac:dyDescent="0.25">
      <c r="A96" s="2" t="s">
        <v>388</v>
      </c>
      <c r="B96" s="2" t="s">
        <v>389</v>
      </c>
      <c r="C96" s="2" t="s">
        <v>390</v>
      </c>
      <c r="D96" s="2" t="s">
        <v>391</v>
      </c>
      <c r="E96" s="2" t="s">
        <v>11</v>
      </c>
      <c r="F96" s="2" t="s">
        <v>12</v>
      </c>
      <c r="G96" s="2">
        <v>450</v>
      </c>
      <c r="H96" s="3">
        <v>45581</v>
      </c>
    </row>
    <row r="97" spans="1:8" ht="14.25" customHeight="1" x14ac:dyDescent="0.25">
      <c r="A97" s="2" t="s">
        <v>392</v>
      </c>
      <c r="B97" s="2" t="s">
        <v>393</v>
      </c>
      <c r="C97" s="2" t="s">
        <v>394</v>
      </c>
      <c r="D97" s="2" t="s">
        <v>395</v>
      </c>
      <c r="E97" s="2" t="s">
        <v>17</v>
      </c>
      <c r="F97" s="2" t="s">
        <v>22</v>
      </c>
      <c r="G97" s="2">
        <v>700</v>
      </c>
      <c r="H97" s="3">
        <v>45588</v>
      </c>
    </row>
    <row r="98" spans="1:8" ht="14.25" customHeight="1" x14ac:dyDescent="0.25">
      <c r="A98" s="2" t="s">
        <v>396</v>
      </c>
      <c r="B98" s="2" t="s">
        <v>397</v>
      </c>
      <c r="C98" s="2" t="s">
        <v>398</v>
      </c>
      <c r="D98" s="2" t="s">
        <v>399</v>
      </c>
      <c r="E98" s="2" t="s">
        <v>11</v>
      </c>
      <c r="F98" s="2" t="s">
        <v>27</v>
      </c>
      <c r="G98" s="2">
        <v>300</v>
      </c>
      <c r="H98" s="3">
        <v>45590</v>
      </c>
    </row>
    <row r="99" spans="1:8" ht="14.25" customHeight="1" x14ac:dyDescent="0.25">
      <c r="A99" s="2" t="s">
        <v>400</v>
      </c>
      <c r="B99" s="2" t="s">
        <v>401</v>
      </c>
      <c r="C99" s="2" t="s">
        <v>402</v>
      </c>
      <c r="D99" s="2" t="s">
        <v>403</v>
      </c>
      <c r="E99" s="2" t="s">
        <v>17</v>
      </c>
      <c r="F99" s="2" t="s">
        <v>12</v>
      </c>
      <c r="G99" s="2">
        <v>450</v>
      </c>
      <c r="H99" s="3">
        <v>45593</v>
      </c>
    </row>
    <row r="100" spans="1:8" ht="14.25" customHeight="1" x14ac:dyDescent="0.25">
      <c r="A100" s="2" t="s">
        <v>404</v>
      </c>
      <c r="B100" s="2" t="s">
        <v>405</v>
      </c>
      <c r="C100" s="2" t="s">
        <v>406</v>
      </c>
      <c r="D100" s="2" t="s">
        <v>407</v>
      </c>
      <c r="E100" s="2" t="s">
        <v>11</v>
      </c>
      <c r="F100" s="2" t="s">
        <v>22</v>
      </c>
      <c r="G100" s="2">
        <v>700</v>
      </c>
      <c r="H100" s="3">
        <v>45598</v>
      </c>
    </row>
    <row r="101" spans="1:8" ht="14.25" customHeight="1" x14ac:dyDescent="0.25">
      <c r="A101" s="2" t="s">
        <v>408</v>
      </c>
      <c r="B101" s="2" t="s">
        <v>409</v>
      </c>
      <c r="C101" s="2" t="s">
        <v>410</v>
      </c>
      <c r="D101" s="2" t="s">
        <v>411</v>
      </c>
      <c r="E101" s="2" t="s">
        <v>17</v>
      </c>
      <c r="F101" s="2" t="s">
        <v>27</v>
      </c>
      <c r="G101" s="2">
        <v>300</v>
      </c>
      <c r="H101" s="3">
        <v>45605</v>
      </c>
    </row>
    <row r="102" spans="1:8" ht="14.25" customHeight="1" x14ac:dyDescent="0.25"/>
    <row r="103" spans="1:8" ht="14.25" customHeight="1" x14ac:dyDescent="0.25"/>
    <row r="104" spans="1:8" ht="14.25" customHeight="1" x14ac:dyDescent="0.25"/>
    <row r="105" spans="1:8" ht="14.25" customHeight="1" x14ac:dyDescent="0.25"/>
    <row r="106" spans="1:8" ht="14.25" customHeight="1" x14ac:dyDescent="0.25"/>
    <row r="107" spans="1:8" ht="14.25" customHeight="1" x14ac:dyDescent="0.25"/>
    <row r="108" spans="1:8" ht="14.25" customHeight="1" x14ac:dyDescent="0.25"/>
    <row r="109" spans="1:8" ht="14.25" customHeight="1" x14ac:dyDescent="0.25"/>
    <row r="110" spans="1:8" ht="14.25" customHeight="1" x14ac:dyDescent="0.25"/>
    <row r="111" spans="1:8" ht="14.25" customHeight="1" x14ac:dyDescent="0.25"/>
    <row r="112" spans="1:8"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autoFilter ref="A1:H101" xr:uid="{00000000-0009-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1000"/>
  <sheetViews>
    <sheetView workbookViewId="0">
      <selection activeCell="D7" sqref="D7"/>
    </sheetView>
  </sheetViews>
  <sheetFormatPr defaultColWidth="14.42578125" defaultRowHeight="15" customHeight="1" x14ac:dyDescent="0.25"/>
  <cols>
    <col min="1" max="1" width="8.7109375" customWidth="1"/>
    <col min="2" max="2" width="14.5703125" customWidth="1"/>
    <col min="3" max="3" width="9.85546875" customWidth="1"/>
    <col min="4" max="4" width="13.5703125" customWidth="1"/>
    <col min="5" max="26" width="8.7109375" customWidth="1"/>
  </cols>
  <sheetData>
    <row r="1" spans="2:4" ht="14.25" customHeight="1" x14ac:dyDescent="0.25">
      <c r="C1" s="41" t="s">
        <v>467</v>
      </c>
      <c r="D1" s="40" t="s">
        <v>468</v>
      </c>
    </row>
    <row r="2" spans="2:4" ht="14.25" customHeight="1" x14ac:dyDescent="0.25">
      <c r="B2" s="2" t="s">
        <v>412</v>
      </c>
      <c r="C2" s="4">
        <v>45000</v>
      </c>
      <c r="D2" s="4">
        <v>100000</v>
      </c>
    </row>
    <row r="3" spans="2:4" ht="14.25" customHeight="1" x14ac:dyDescent="0.25"/>
    <row r="4" spans="2:4" ht="14.25" customHeight="1" x14ac:dyDescent="0.25">
      <c r="B4" s="2" t="s">
        <v>413</v>
      </c>
      <c r="C4" s="4">
        <v>9000</v>
      </c>
      <c r="D4" s="4">
        <v>10000</v>
      </c>
    </row>
    <row r="5" spans="2:4" ht="14.25" customHeight="1" x14ac:dyDescent="0.25">
      <c r="C5" s="4"/>
      <c r="D5" s="4"/>
    </row>
    <row r="6" spans="2:4" ht="14.25" customHeight="1" x14ac:dyDescent="0.25">
      <c r="B6" s="2" t="s">
        <v>414</v>
      </c>
      <c r="C6" s="4">
        <v>4300</v>
      </c>
      <c r="D6" s="4">
        <v>25000</v>
      </c>
    </row>
    <row r="7" spans="2:4" ht="14.25" customHeight="1" x14ac:dyDescent="0.25"/>
    <row r="8" spans="2:4" ht="14.25" customHeight="1" x14ac:dyDescent="0.25"/>
    <row r="9" spans="2:4" ht="14.25" customHeight="1" x14ac:dyDescent="0.25"/>
    <row r="10" spans="2:4" ht="14.25" customHeight="1" x14ac:dyDescent="0.25"/>
    <row r="11" spans="2:4" ht="14.25" customHeight="1" x14ac:dyDescent="0.25"/>
    <row r="12" spans="2:4" ht="14.25" customHeight="1" x14ac:dyDescent="0.25"/>
    <row r="13" spans="2:4" ht="14.25" customHeight="1" x14ac:dyDescent="0.25"/>
    <row r="14" spans="2:4" ht="14.25" customHeight="1" x14ac:dyDescent="0.25"/>
    <row r="15" spans="2:4" ht="14.25" customHeight="1" x14ac:dyDescent="0.25"/>
    <row r="16" spans="2:4"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4.25" customHeight="1" x14ac:dyDescent="0.25"/>
    <row r="24" ht="14.25" customHeight="1" x14ac:dyDescent="0.25"/>
    <row r="25" ht="14.25" customHeight="1" x14ac:dyDescent="0.25"/>
    <row r="26" ht="14.25" customHeight="1" x14ac:dyDescent="0.25"/>
    <row r="27" ht="14.25" customHeight="1" x14ac:dyDescent="0.25"/>
    <row r="28" ht="14.25" customHeight="1" x14ac:dyDescent="0.25"/>
    <row r="29" ht="14.25" customHeight="1" x14ac:dyDescent="0.25"/>
    <row r="30" ht="14.25" customHeight="1" x14ac:dyDescent="0.25"/>
    <row r="31" ht="14.25" customHeight="1" x14ac:dyDescent="0.25"/>
    <row r="32"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CD0C6-E0E9-4BE4-9DE5-F3D1FBC7172F}">
  <sheetPr codeName="Sheet4"/>
  <dimension ref="A3:C41"/>
  <sheetViews>
    <sheetView workbookViewId="0"/>
  </sheetViews>
  <sheetFormatPr defaultRowHeight="15" x14ac:dyDescent="0.25"/>
  <cols>
    <col min="1" max="1" width="11.28515625" bestFit="1" customWidth="1"/>
    <col min="2" max="2" width="10.85546875" bestFit="1" customWidth="1"/>
    <col min="3" max="3" width="20.85546875" bestFit="1" customWidth="1"/>
    <col min="4" max="4" width="20.85546875" customWidth="1"/>
  </cols>
  <sheetData>
    <row r="3" spans="1:3" x14ac:dyDescent="0.25">
      <c r="A3" s="5" t="s">
        <v>422</v>
      </c>
      <c r="B3" t="s">
        <v>421</v>
      </c>
      <c r="C3" t="s">
        <v>419</v>
      </c>
    </row>
    <row r="4" spans="1:3" x14ac:dyDescent="0.25">
      <c r="A4" s="6" t="s">
        <v>416</v>
      </c>
      <c r="B4">
        <v>5</v>
      </c>
      <c r="C4">
        <v>2350</v>
      </c>
    </row>
    <row r="5" spans="1:3" x14ac:dyDescent="0.25">
      <c r="A5" s="7" t="s">
        <v>423</v>
      </c>
      <c r="B5">
        <v>5</v>
      </c>
      <c r="C5">
        <v>2350</v>
      </c>
    </row>
    <row r="6" spans="1:3" x14ac:dyDescent="0.25">
      <c r="A6" s="8" t="s">
        <v>424</v>
      </c>
      <c r="B6">
        <v>1</v>
      </c>
      <c r="C6">
        <v>450</v>
      </c>
    </row>
    <row r="7" spans="1:3" x14ac:dyDescent="0.25">
      <c r="A7" s="8" t="s">
        <v>425</v>
      </c>
      <c r="B7">
        <v>4</v>
      </c>
      <c r="C7">
        <v>1900</v>
      </c>
    </row>
    <row r="8" spans="1:3" x14ac:dyDescent="0.25">
      <c r="A8" s="6" t="s">
        <v>417</v>
      </c>
      <c r="B8">
        <v>42</v>
      </c>
      <c r="C8">
        <v>20300</v>
      </c>
    </row>
    <row r="9" spans="1:3" x14ac:dyDescent="0.25">
      <c r="A9" s="7" t="s">
        <v>426</v>
      </c>
      <c r="B9">
        <v>12</v>
      </c>
      <c r="C9">
        <v>5800</v>
      </c>
    </row>
    <row r="10" spans="1:3" x14ac:dyDescent="0.25">
      <c r="A10" s="8" t="s">
        <v>430</v>
      </c>
      <c r="B10">
        <v>3</v>
      </c>
      <c r="C10">
        <v>1450</v>
      </c>
    </row>
    <row r="11" spans="1:3" x14ac:dyDescent="0.25">
      <c r="A11" s="8" t="s">
        <v>431</v>
      </c>
      <c r="B11">
        <v>8</v>
      </c>
      <c r="C11">
        <v>3900</v>
      </c>
    </row>
    <row r="12" spans="1:3" x14ac:dyDescent="0.25">
      <c r="A12" s="8" t="s">
        <v>432</v>
      </c>
      <c r="B12">
        <v>1</v>
      </c>
      <c r="C12">
        <v>450</v>
      </c>
    </row>
    <row r="13" spans="1:3" x14ac:dyDescent="0.25">
      <c r="A13" s="7" t="s">
        <v>427</v>
      </c>
      <c r="B13">
        <v>11</v>
      </c>
      <c r="C13">
        <v>5350</v>
      </c>
    </row>
    <row r="14" spans="1:3" x14ac:dyDescent="0.25">
      <c r="A14" s="8" t="s">
        <v>433</v>
      </c>
      <c r="B14">
        <v>6</v>
      </c>
      <c r="C14">
        <v>2900</v>
      </c>
    </row>
    <row r="15" spans="1:3" x14ac:dyDescent="0.25">
      <c r="A15" s="8" t="s">
        <v>434</v>
      </c>
      <c r="B15">
        <v>3</v>
      </c>
      <c r="C15">
        <v>1450</v>
      </c>
    </row>
    <row r="16" spans="1:3" x14ac:dyDescent="0.25">
      <c r="A16" s="8" t="s">
        <v>435</v>
      </c>
      <c r="B16">
        <v>2</v>
      </c>
      <c r="C16">
        <v>1000</v>
      </c>
    </row>
    <row r="17" spans="1:3" x14ac:dyDescent="0.25">
      <c r="A17" s="7" t="s">
        <v>428</v>
      </c>
      <c r="B17">
        <v>11</v>
      </c>
      <c r="C17">
        <v>5500</v>
      </c>
    </row>
    <row r="18" spans="1:3" x14ac:dyDescent="0.25">
      <c r="A18" s="8" t="s">
        <v>436</v>
      </c>
      <c r="B18">
        <v>5</v>
      </c>
      <c r="C18">
        <v>2600</v>
      </c>
    </row>
    <row r="19" spans="1:3" x14ac:dyDescent="0.25">
      <c r="A19" s="8" t="s">
        <v>437</v>
      </c>
      <c r="B19">
        <v>3</v>
      </c>
      <c r="C19">
        <v>1450</v>
      </c>
    </row>
    <row r="20" spans="1:3" x14ac:dyDescent="0.25">
      <c r="A20" s="8" t="s">
        <v>438</v>
      </c>
      <c r="B20">
        <v>3</v>
      </c>
      <c r="C20">
        <v>1450</v>
      </c>
    </row>
    <row r="21" spans="1:3" x14ac:dyDescent="0.25">
      <c r="A21" s="7" t="s">
        <v>423</v>
      </c>
      <c r="B21">
        <v>8</v>
      </c>
      <c r="C21">
        <v>3650</v>
      </c>
    </row>
    <row r="22" spans="1:3" x14ac:dyDescent="0.25">
      <c r="A22" s="8" t="s">
        <v>429</v>
      </c>
      <c r="B22">
        <v>4</v>
      </c>
      <c r="C22">
        <v>1750</v>
      </c>
    </row>
    <row r="23" spans="1:3" x14ac:dyDescent="0.25">
      <c r="A23" s="8" t="s">
        <v>424</v>
      </c>
      <c r="B23">
        <v>2</v>
      </c>
      <c r="C23">
        <v>1150</v>
      </c>
    </row>
    <row r="24" spans="1:3" x14ac:dyDescent="0.25">
      <c r="A24" s="8" t="s">
        <v>425</v>
      </c>
      <c r="B24">
        <v>2</v>
      </c>
      <c r="C24">
        <v>750</v>
      </c>
    </row>
    <row r="25" spans="1:3" x14ac:dyDescent="0.25">
      <c r="A25" s="6" t="s">
        <v>418</v>
      </c>
      <c r="B25">
        <v>53</v>
      </c>
      <c r="C25">
        <v>25650</v>
      </c>
    </row>
    <row r="26" spans="1:3" x14ac:dyDescent="0.25">
      <c r="A26" s="7" t="s">
        <v>426</v>
      </c>
      <c r="B26">
        <v>21</v>
      </c>
      <c r="C26">
        <v>10150</v>
      </c>
    </row>
    <row r="27" spans="1:3" x14ac:dyDescent="0.25">
      <c r="A27" s="8" t="s">
        <v>430</v>
      </c>
      <c r="B27">
        <v>7</v>
      </c>
      <c r="C27">
        <v>3600</v>
      </c>
    </row>
    <row r="28" spans="1:3" x14ac:dyDescent="0.25">
      <c r="A28" s="8" t="s">
        <v>431</v>
      </c>
      <c r="B28">
        <v>9</v>
      </c>
      <c r="C28">
        <v>4350</v>
      </c>
    </row>
    <row r="29" spans="1:3" x14ac:dyDescent="0.25">
      <c r="A29" s="8" t="s">
        <v>432</v>
      </c>
      <c r="B29">
        <v>5</v>
      </c>
      <c r="C29">
        <v>2200</v>
      </c>
    </row>
    <row r="30" spans="1:3" x14ac:dyDescent="0.25">
      <c r="A30" s="7" t="s">
        <v>427</v>
      </c>
      <c r="B30">
        <v>12</v>
      </c>
      <c r="C30">
        <v>5800</v>
      </c>
    </row>
    <row r="31" spans="1:3" x14ac:dyDescent="0.25">
      <c r="A31" s="8" t="s">
        <v>433</v>
      </c>
      <c r="B31">
        <v>3</v>
      </c>
      <c r="C31">
        <v>1450</v>
      </c>
    </row>
    <row r="32" spans="1:3" x14ac:dyDescent="0.25">
      <c r="A32" s="8" t="s">
        <v>434</v>
      </c>
      <c r="B32">
        <v>3</v>
      </c>
      <c r="C32">
        <v>1450</v>
      </c>
    </row>
    <row r="33" spans="1:3" x14ac:dyDescent="0.25">
      <c r="A33" s="8" t="s">
        <v>435</v>
      </c>
      <c r="B33">
        <v>6</v>
      </c>
      <c r="C33">
        <v>2900</v>
      </c>
    </row>
    <row r="34" spans="1:3" x14ac:dyDescent="0.25">
      <c r="A34" s="7" t="s">
        <v>428</v>
      </c>
      <c r="B34">
        <v>12</v>
      </c>
      <c r="C34">
        <v>5800</v>
      </c>
    </row>
    <row r="35" spans="1:3" x14ac:dyDescent="0.25">
      <c r="A35" s="8" t="s">
        <v>436</v>
      </c>
      <c r="B35">
        <v>3</v>
      </c>
      <c r="C35">
        <v>1450</v>
      </c>
    </row>
    <row r="36" spans="1:3" x14ac:dyDescent="0.25">
      <c r="A36" s="8" t="s">
        <v>437</v>
      </c>
      <c r="B36">
        <v>7</v>
      </c>
      <c r="C36">
        <v>3600</v>
      </c>
    </row>
    <row r="37" spans="1:3" x14ac:dyDescent="0.25">
      <c r="A37" s="8" t="s">
        <v>438</v>
      </c>
      <c r="B37">
        <v>2</v>
      </c>
      <c r="C37">
        <v>750</v>
      </c>
    </row>
    <row r="38" spans="1:3" x14ac:dyDescent="0.25">
      <c r="A38" s="7" t="s">
        <v>423</v>
      </c>
      <c r="B38">
        <v>8</v>
      </c>
      <c r="C38">
        <v>3900</v>
      </c>
    </row>
    <row r="39" spans="1:3" x14ac:dyDescent="0.25">
      <c r="A39" s="8" t="s">
        <v>429</v>
      </c>
      <c r="B39">
        <v>6</v>
      </c>
      <c r="C39">
        <v>2900</v>
      </c>
    </row>
    <row r="40" spans="1:3" x14ac:dyDescent="0.25">
      <c r="A40" s="8" t="s">
        <v>424</v>
      </c>
      <c r="B40">
        <v>2</v>
      </c>
      <c r="C40">
        <v>1000</v>
      </c>
    </row>
    <row r="41" spans="1:3" x14ac:dyDescent="0.25">
      <c r="A41" s="6" t="s">
        <v>415</v>
      </c>
      <c r="B41">
        <v>100</v>
      </c>
      <c r="C41">
        <v>48300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52E6C-1CBA-411D-98B3-00C2F23AD74F}">
  <sheetPr codeName="Sheet3"/>
  <dimension ref="A3:L32"/>
  <sheetViews>
    <sheetView workbookViewId="0">
      <selection activeCell="J20" sqref="J20"/>
    </sheetView>
  </sheetViews>
  <sheetFormatPr defaultRowHeight="15" x14ac:dyDescent="0.25"/>
  <cols>
    <col min="1" max="1" width="19.85546875" bestFit="1" customWidth="1"/>
    <col min="2" max="2" width="20.85546875" bestFit="1" customWidth="1"/>
    <col min="6" max="6" width="13.140625" bestFit="1" customWidth="1"/>
    <col min="7" max="7" width="10.85546875" bestFit="1" customWidth="1"/>
    <col min="11" max="11" width="13.140625" bestFit="1" customWidth="1"/>
    <col min="12" max="12" width="10.85546875" bestFit="1" customWidth="1"/>
  </cols>
  <sheetData>
    <row r="3" spans="1:12" x14ac:dyDescent="0.25">
      <c r="A3" s="5" t="s">
        <v>465</v>
      </c>
      <c r="B3" t="s">
        <v>419</v>
      </c>
      <c r="F3" s="5" t="s">
        <v>465</v>
      </c>
      <c r="G3" t="s">
        <v>421</v>
      </c>
      <c r="K3" s="5" t="s">
        <v>465</v>
      </c>
      <c r="L3" t="s">
        <v>421</v>
      </c>
    </row>
    <row r="4" spans="1:12" x14ac:dyDescent="0.25">
      <c r="A4" s="6" t="s">
        <v>22</v>
      </c>
      <c r="B4" s="31">
        <v>23100</v>
      </c>
      <c r="F4" s="6" t="s">
        <v>416</v>
      </c>
      <c r="G4">
        <v>5</v>
      </c>
      <c r="K4" s="6" t="s">
        <v>17</v>
      </c>
      <c r="L4">
        <v>50</v>
      </c>
    </row>
    <row r="5" spans="1:12" x14ac:dyDescent="0.25">
      <c r="A5" s="6" t="s">
        <v>27</v>
      </c>
      <c r="B5" s="31">
        <v>9900</v>
      </c>
      <c r="F5" s="7" t="s">
        <v>424</v>
      </c>
      <c r="G5">
        <v>1</v>
      </c>
      <c r="K5" s="6" t="s">
        <v>11</v>
      </c>
      <c r="L5">
        <v>50</v>
      </c>
    </row>
    <row r="6" spans="1:12" x14ac:dyDescent="0.25">
      <c r="A6" s="6" t="s">
        <v>12</v>
      </c>
      <c r="B6" s="31">
        <v>15300</v>
      </c>
      <c r="F6" s="7" t="s">
        <v>425</v>
      </c>
      <c r="G6">
        <v>4</v>
      </c>
      <c r="K6" s="6" t="s">
        <v>415</v>
      </c>
      <c r="L6">
        <v>100</v>
      </c>
    </row>
    <row r="7" spans="1:12" x14ac:dyDescent="0.25">
      <c r="A7" s="6" t="s">
        <v>415</v>
      </c>
      <c r="B7" s="31">
        <v>48300</v>
      </c>
      <c r="F7" s="6" t="s">
        <v>417</v>
      </c>
      <c r="G7">
        <v>42</v>
      </c>
    </row>
    <row r="8" spans="1:12" x14ac:dyDescent="0.25">
      <c r="F8" s="7" t="s">
        <v>430</v>
      </c>
      <c r="G8">
        <v>3</v>
      </c>
    </row>
    <row r="9" spans="1:12" x14ac:dyDescent="0.25">
      <c r="F9" s="7" t="s">
        <v>431</v>
      </c>
      <c r="G9">
        <v>8</v>
      </c>
    </row>
    <row r="10" spans="1:12" x14ac:dyDescent="0.25">
      <c r="F10" s="7" t="s">
        <v>432</v>
      </c>
      <c r="G10">
        <v>1</v>
      </c>
    </row>
    <row r="11" spans="1:12" x14ac:dyDescent="0.25">
      <c r="F11" s="7" t="s">
        <v>433</v>
      </c>
      <c r="G11">
        <v>6</v>
      </c>
    </row>
    <row r="12" spans="1:12" x14ac:dyDescent="0.25">
      <c r="F12" s="7" t="s">
        <v>434</v>
      </c>
      <c r="G12">
        <v>3</v>
      </c>
    </row>
    <row r="13" spans="1:12" x14ac:dyDescent="0.25">
      <c r="F13" s="7" t="s">
        <v>435</v>
      </c>
      <c r="G13">
        <v>2</v>
      </c>
    </row>
    <row r="14" spans="1:12" x14ac:dyDescent="0.25">
      <c r="F14" s="7" t="s">
        <v>436</v>
      </c>
      <c r="G14">
        <v>5</v>
      </c>
    </row>
    <row r="15" spans="1:12" x14ac:dyDescent="0.25">
      <c r="F15" s="7" t="s">
        <v>437</v>
      </c>
      <c r="G15">
        <v>3</v>
      </c>
    </row>
    <row r="16" spans="1:12" x14ac:dyDescent="0.25">
      <c r="F16" s="7" t="s">
        <v>438</v>
      </c>
      <c r="G16">
        <v>3</v>
      </c>
    </row>
    <row r="17" spans="6:7" x14ac:dyDescent="0.25">
      <c r="F17" s="7" t="s">
        <v>429</v>
      </c>
      <c r="G17">
        <v>4</v>
      </c>
    </row>
    <row r="18" spans="6:7" x14ac:dyDescent="0.25">
      <c r="F18" s="7" t="s">
        <v>424</v>
      </c>
      <c r="G18">
        <v>2</v>
      </c>
    </row>
    <row r="19" spans="6:7" x14ac:dyDescent="0.25">
      <c r="F19" s="7" t="s">
        <v>425</v>
      </c>
      <c r="G19">
        <v>2</v>
      </c>
    </row>
    <row r="20" spans="6:7" x14ac:dyDescent="0.25">
      <c r="F20" s="6" t="s">
        <v>418</v>
      </c>
      <c r="G20">
        <v>53</v>
      </c>
    </row>
    <row r="21" spans="6:7" x14ac:dyDescent="0.25">
      <c r="F21" s="7" t="s">
        <v>430</v>
      </c>
      <c r="G21">
        <v>7</v>
      </c>
    </row>
    <row r="22" spans="6:7" x14ac:dyDescent="0.25">
      <c r="F22" s="7" t="s">
        <v>431</v>
      </c>
      <c r="G22">
        <v>9</v>
      </c>
    </row>
    <row r="23" spans="6:7" x14ac:dyDescent="0.25">
      <c r="F23" s="7" t="s">
        <v>432</v>
      </c>
      <c r="G23">
        <v>5</v>
      </c>
    </row>
    <row r="24" spans="6:7" x14ac:dyDescent="0.25">
      <c r="F24" s="7" t="s">
        <v>433</v>
      </c>
      <c r="G24">
        <v>3</v>
      </c>
    </row>
    <row r="25" spans="6:7" x14ac:dyDescent="0.25">
      <c r="F25" s="7" t="s">
        <v>434</v>
      </c>
      <c r="G25">
        <v>3</v>
      </c>
    </row>
    <row r="26" spans="6:7" x14ac:dyDescent="0.25">
      <c r="F26" s="7" t="s">
        <v>435</v>
      </c>
      <c r="G26">
        <v>6</v>
      </c>
    </row>
    <row r="27" spans="6:7" x14ac:dyDescent="0.25">
      <c r="F27" s="7" t="s">
        <v>436</v>
      </c>
      <c r="G27">
        <v>3</v>
      </c>
    </row>
    <row r="28" spans="6:7" x14ac:dyDescent="0.25">
      <c r="F28" s="7" t="s">
        <v>437</v>
      </c>
      <c r="G28">
        <v>7</v>
      </c>
    </row>
    <row r="29" spans="6:7" x14ac:dyDescent="0.25">
      <c r="F29" s="7" t="s">
        <v>438</v>
      </c>
      <c r="G29">
        <v>2</v>
      </c>
    </row>
    <row r="30" spans="6:7" x14ac:dyDescent="0.25">
      <c r="F30" s="7" t="s">
        <v>429</v>
      </c>
      <c r="G30">
        <v>6</v>
      </c>
    </row>
    <row r="31" spans="6:7" x14ac:dyDescent="0.25">
      <c r="F31" s="7" t="s">
        <v>424</v>
      </c>
      <c r="G31">
        <v>2</v>
      </c>
    </row>
    <row r="32" spans="6:7" x14ac:dyDescent="0.25">
      <c r="F32" s="6" t="s">
        <v>415</v>
      </c>
      <c r="G32">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CC495-33D3-4ED0-8405-DA44C98C8435}">
  <sheetPr codeName="Sheet5"/>
  <dimension ref="A1:K93"/>
  <sheetViews>
    <sheetView zoomScale="85" zoomScaleNormal="85" workbookViewId="0">
      <selection activeCell="A2" sqref="A2"/>
    </sheetView>
  </sheetViews>
  <sheetFormatPr defaultRowHeight="15" x14ac:dyDescent="0.25"/>
  <cols>
    <col min="1" max="1" width="11.140625" style="9" customWidth="1"/>
    <col min="2" max="2" width="20.7109375" style="9" customWidth="1"/>
    <col min="3" max="3" width="24.85546875" style="9" customWidth="1"/>
    <col min="4" max="4" width="11.28515625" style="9" customWidth="1"/>
    <col min="5" max="5" width="22.140625" style="14" customWidth="1"/>
    <col min="6" max="6" width="15.7109375" style="9" customWidth="1"/>
    <col min="7" max="7" width="9.7109375" style="9" customWidth="1"/>
    <col min="8" max="8" width="27.42578125" customWidth="1"/>
    <col min="9" max="9" width="20.140625" customWidth="1"/>
    <col min="10" max="10" width="23" customWidth="1"/>
    <col min="11" max="11" width="27.5703125" bestFit="1" customWidth="1"/>
  </cols>
  <sheetData>
    <row r="1" spans="1:11" x14ac:dyDescent="0.25">
      <c r="A1" s="11" t="s">
        <v>443</v>
      </c>
      <c r="B1" s="11" t="s">
        <v>439</v>
      </c>
      <c r="C1" s="11" t="s">
        <v>440</v>
      </c>
      <c r="D1" s="11" t="s">
        <v>445</v>
      </c>
      <c r="E1" s="11" t="s">
        <v>446</v>
      </c>
      <c r="F1" s="11" t="s">
        <v>441</v>
      </c>
      <c r="G1" s="11"/>
      <c r="H1" s="29" t="s">
        <v>470</v>
      </c>
      <c r="I1" s="22" t="s">
        <v>456</v>
      </c>
      <c r="J1" s="29" t="s">
        <v>457</v>
      </c>
      <c r="K1" s="29" t="s">
        <v>458</v>
      </c>
    </row>
    <row r="2" spans="1:11" x14ac:dyDescent="0.25">
      <c r="A2" s="12">
        <v>44866</v>
      </c>
      <c r="B2" s="9">
        <v>1</v>
      </c>
      <c r="D2" s="10">
        <f>AVERAGE(Database!G:G)</f>
        <v>483</v>
      </c>
      <c r="E2" s="19">
        <f>B2*D2</f>
        <v>483</v>
      </c>
      <c r="F2" s="9" t="s">
        <v>442</v>
      </c>
      <c r="H2" s="20" t="s">
        <v>448</v>
      </c>
      <c r="I2" s="23">
        <f>SUM(E27:E38)</f>
        <v>26086.494499979519</v>
      </c>
      <c r="J2" s="26">
        <f>J9*J10</f>
        <v>58300</v>
      </c>
      <c r="K2" s="26">
        <f>K9*K10</f>
        <v>58300</v>
      </c>
    </row>
    <row r="3" spans="1:11" x14ac:dyDescent="0.25">
      <c r="A3" s="12">
        <v>44896</v>
      </c>
      <c r="B3" s="9">
        <v>4</v>
      </c>
      <c r="D3" s="10">
        <f>AVERAGE(Database!G:G)</f>
        <v>483</v>
      </c>
      <c r="E3" s="19">
        <f t="shared" ref="E3:E26" si="0">B3*D3</f>
        <v>1932</v>
      </c>
      <c r="F3" s="9" t="s">
        <v>442</v>
      </c>
      <c r="H3" s="20" t="s">
        <v>449</v>
      </c>
      <c r="I3" s="24">
        <f>Assumptions!$C$4</f>
        <v>9000</v>
      </c>
      <c r="J3" s="24">
        <f>Assumptions!$C$4</f>
        <v>9000</v>
      </c>
      <c r="K3" s="24">
        <f>Assumptions!$C$4</f>
        <v>9000</v>
      </c>
    </row>
    <row r="4" spans="1:11" x14ac:dyDescent="0.25">
      <c r="A4" s="12">
        <v>44927</v>
      </c>
      <c r="B4" s="9">
        <v>3</v>
      </c>
      <c r="D4" s="10">
        <f>AVERAGE(Database!G:G)</f>
        <v>483</v>
      </c>
      <c r="E4" s="19">
        <f t="shared" si="0"/>
        <v>1449</v>
      </c>
      <c r="F4" s="9" t="s">
        <v>442</v>
      </c>
      <c r="H4" s="20" t="s">
        <v>450</v>
      </c>
      <c r="I4" s="24">
        <f>Assumptions!$C$6</f>
        <v>4300</v>
      </c>
      <c r="J4" s="24">
        <f>Assumptions!$C$6</f>
        <v>4300</v>
      </c>
      <c r="K4" s="24">
        <f>Assumptions!$C$6</f>
        <v>4300</v>
      </c>
    </row>
    <row r="5" spans="1:11" x14ac:dyDescent="0.25">
      <c r="A5" s="12">
        <v>44958</v>
      </c>
      <c r="B5" s="9">
        <v>8</v>
      </c>
      <c r="D5" s="10">
        <f>AVERAGE(Database!G:G)</f>
        <v>483</v>
      </c>
      <c r="E5" s="19">
        <f t="shared" si="0"/>
        <v>3864</v>
      </c>
      <c r="F5" s="9" t="s">
        <v>442</v>
      </c>
      <c r="H5" s="20" t="s">
        <v>451</v>
      </c>
      <c r="I5" s="24">
        <f>I3+I4</f>
        <v>13300</v>
      </c>
      <c r="J5" s="24">
        <f t="shared" ref="J5:K5" si="1">J3+J4</f>
        <v>13300</v>
      </c>
      <c r="K5" s="24">
        <f t="shared" si="1"/>
        <v>13300</v>
      </c>
    </row>
    <row r="6" spans="1:11" x14ac:dyDescent="0.25">
      <c r="A6" s="12">
        <v>44986</v>
      </c>
      <c r="B6" s="9">
        <v>1</v>
      </c>
      <c r="D6" s="10">
        <f>AVERAGE(Database!G:G)</f>
        <v>483</v>
      </c>
      <c r="E6" s="19">
        <f t="shared" si="0"/>
        <v>483</v>
      </c>
      <c r="F6" s="9" t="s">
        <v>442</v>
      </c>
      <c r="H6" s="20" t="s">
        <v>452</v>
      </c>
      <c r="I6" s="23">
        <f>I2-I5</f>
        <v>12786.494499979519</v>
      </c>
      <c r="J6" s="23">
        <f t="shared" ref="J6:K6" si="2">J2-J5</f>
        <v>45000</v>
      </c>
      <c r="K6" s="23">
        <f t="shared" si="2"/>
        <v>45000</v>
      </c>
    </row>
    <row r="7" spans="1:11" x14ac:dyDescent="0.25">
      <c r="A7" s="12">
        <v>45017</v>
      </c>
      <c r="B7" s="9">
        <v>6</v>
      </c>
      <c r="D7" s="10">
        <f>AVERAGE(Database!G:G)</f>
        <v>483</v>
      </c>
      <c r="E7" s="19">
        <f t="shared" si="0"/>
        <v>2898</v>
      </c>
      <c r="F7" s="9" t="s">
        <v>442</v>
      </c>
      <c r="H7" s="20"/>
      <c r="I7" s="25"/>
    </row>
    <row r="8" spans="1:11" x14ac:dyDescent="0.25">
      <c r="A8" s="12">
        <v>45047</v>
      </c>
      <c r="B8" s="9">
        <v>3</v>
      </c>
      <c r="D8" s="10">
        <f>AVERAGE(Database!G:G)</f>
        <v>483</v>
      </c>
      <c r="E8" s="19">
        <f t="shared" si="0"/>
        <v>1449</v>
      </c>
      <c r="F8" s="9" t="s">
        <v>442</v>
      </c>
      <c r="H8" s="20" t="s">
        <v>453</v>
      </c>
      <c r="I8" s="23">
        <f>Assumptions!$C$2</f>
        <v>45000</v>
      </c>
      <c r="J8" s="23">
        <f>Assumptions!$C$2</f>
        <v>45000</v>
      </c>
      <c r="K8" s="23">
        <f>Assumptions!$C$2</f>
        <v>45000</v>
      </c>
    </row>
    <row r="9" spans="1:11" x14ac:dyDescent="0.25">
      <c r="A9" s="12">
        <v>45078</v>
      </c>
      <c r="B9" s="9">
        <v>2</v>
      </c>
      <c r="D9" s="10">
        <f>AVERAGE(Database!G:G)</f>
        <v>483</v>
      </c>
      <c r="E9" s="19">
        <f t="shared" si="0"/>
        <v>966</v>
      </c>
      <c r="F9" s="9" t="s">
        <v>442</v>
      </c>
      <c r="H9" s="20" t="s">
        <v>454</v>
      </c>
      <c r="I9" s="23">
        <f>AVERAGE(D27:D38)</f>
        <v>483</v>
      </c>
      <c r="J9" s="28">
        <v>1079.6296296296296</v>
      </c>
      <c r="K9" s="23">
        <v>483</v>
      </c>
    </row>
    <row r="10" spans="1:11" x14ac:dyDescent="0.25">
      <c r="A10" s="12">
        <v>45108</v>
      </c>
      <c r="B10" s="9">
        <v>5</v>
      </c>
      <c r="D10" s="10">
        <f>AVERAGE(Database!G:G)</f>
        <v>483</v>
      </c>
      <c r="E10" s="19">
        <f t="shared" si="0"/>
        <v>2415</v>
      </c>
      <c r="F10" s="9" t="s">
        <v>442</v>
      </c>
      <c r="H10" s="20" t="s">
        <v>455</v>
      </c>
      <c r="I10" s="27">
        <f>C39</f>
        <v>54.009305382980386</v>
      </c>
      <c r="J10" s="21">
        <v>54</v>
      </c>
      <c r="K10" s="30">
        <v>120.70393374741201</v>
      </c>
    </row>
    <row r="11" spans="1:11" x14ac:dyDescent="0.25">
      <c r="A11" s="12">
        <v>45139</v>
      </c>
      <c r="B11" s="9">
        <v>3</v>
      </c>
      <c r="D11" s="10">
        <f>AVERAGE(Database!G:G)</f>
        <v>483</v>
      </c>
      <c r="E11" s="19">
        <f t="shared" si="0"/>
        <v>1449</v>
      </c>
      <c r="F11" s="9" t="s">
        <v>442</v>
      </c>
    </row>
    <row r="12" spans="1:11" x14ac:dyDescent="0.25">
      <c r="A12" s="12">
        <v>45170</v>
      </c>
      <c r="B12" s="9">
        <v>3</v>
      </c>
      <c r="D12" s="10">
        <f>AVERAGE(Database!G:G)</f>
        <v>483</v>
      </c>
      <c r="E12" s="19">
        <f t="shared" si="0"/>
        <v>1449</v>
      </c>
      <c r="F12" s="9" t="s">
        <v>442</v>
      </c>
    </row>
    <row r="13" spans="1:11" x14ac:dyDescent="0.25">
      <c r="A13" s="12">
        <v>45200</v>
      </c>
      <c r="B13" s="9">
        <v>4</v>
      </c>
      <c r="D13" s="10">
        <f>AVERAGE(Database!G:G)</f>
        <v>483</v>
      </c>
      <c r="E13" s="19">
        <f t="shared" si="0"/>
        <v>1932</v>
      </c>
      <c r="F13" s="9" t="s">
        <v>442</v>
      </c>
    </row>
    <row r="14" spans="1:11" x14ac:dyDescent="0.25">
      <c r="A14" s="12">
        <v>45231</v>
      </c>
      <c r="B14" s="9">
        <v>2</v>
      </c>
      <c r="D14" s="10">
        <f>AVERAGE(Database!G:G)</f>
        <v>483</v>
      </c>
      <c r="E14" s="19">
        <f t="shared" si="0"/>
        <v>966</v>
      </c>
      <c r="F14" s="9" t="s">
        <v>442</v>
      </c>
      <c r="H14" s="29" t="s">
        <v>469</v>
      </c>
      <c r="I14" s="29" t="s">
        <v>457</v>
      </c>
      <c r="J14" s="29" t="s">
        <v>458</v>
      </c>
    </row>
    <row r="15" spans="1:11" x14ac:dyDescent="0.25">
      <c r="A15" s="12">
        <v>45261</v>
      </c>
      <c r="B15" s="9">
        <v>2</v>
      </c>
      <c r="D15" s="10">
        <f>AVERAGE(Database!G:G)</f>
        <v>483</v>
      </c>
      <c r="E15" s="19">
        <f t="shared" si="0"/>
        <v>966</v>
      </c>
      <c r="F15" s="9" t="s">
        <v>442</v>
      </c>
      <c r="H15" s="20" t="s">
        <v>448</v>
      </c>
      <c r="I15" s="23">
        <f>I22*I23</f>
        <v>134999.99999999997</v>
      </c>
      <c r="J15" s="26">
        <f>J22*J23</f>
        <v>135000</v>
      </c>
    </row>
    <row r="16" spans="1:11" x14ac:dyDescent="0.25">
      <c r="A16" s="12">
        <v>45292</v>
      </c>
      <c r="B16" s="9">
        <v>7</v>
      </c>
      <c r="D16" s="10">
        <f>AVERAGE(Database!G:G)</f>
        <v>483</v>
      </c>
      <c r="E16" s="19">
        <f t="shared" si="0"/>
        <v>3381</v>
      </c>
      <c r="F16" s="9" t="s">
        <v>442</v>
      </c>
      <c r="H16" s="20" t="s">
        <v>449</v>
      </c>
      <c r="I16" s="24">
        <f>Assumptions!$D$4</f>
        <v>10000</v>
      </c>
      <c r="J16" s="24">
        <f>Assumptions!$D$4</f>
        <v>10000</v>
      </c>
    </row>
    <row r="17" spans="1:10" x14ac:dyDescent="0.25">
      <c r="A17" s="12">
        <v>45323</v>
      </c>
      <c r="B17" s="9">
        <v>9</v>
      </c>
      <c r="D17" s="10">
        <f>AVERAGE(Database!G:G)</f>
        <v>483</v>
      </c>
      <c r="E17" s="19">
        <f t="shared" si="0"/>
        <v>4347</v>
      </c>
      <c r="F17" s="9" t="s">
        <v>442</v>
      </c>
      <c r="H17" s="20" t="s">
        <v>450</v>
      </c>
      <c r="I17" s="24">
        <f>Assumptions!$D$6</f>
        <v>25000</v>
      </c>
      <c r="J17" s="24">
        <f>Assumptions!$D$6</f>
        <v>25000</v>
      </c>
    </row>
    <row r="18" spans="1:10" x14ac:dyDescent="0.25">
      <c r="A18" s="12">
        <v>45352</v>
      </c>
      <c r="B18" s="9">
        <v>5</v>
      </c>
      <c r="D18" s="10">
        <f>AVERAGE(Database!G:G)</f>
        <v>483</v>
      </c>
      <c r="E18" s="19">
        <f t="shared" si="0"/>
        <v>2415</v>
      </c>
      <c r="F18" s="9" t="s">
        <v>442</v>
      </c>
      <c r="H18" s="20" t="s">
        <v>451</v>
      </c>
      <c r="I18" s="24">
        <f>I16+I17</f>
        <v>35000</v>
      </c>
      <c r="J18" s="24">
        <f>J16+J17</f>
        <v>35000</v>
      </c>
    </row>
    <row r="19" spans="1:10" x14ac:dyDescent="0.25">
      <c r="A19" s="12">
        <v>45383</v>
      </c>
      <c r="B19" s="9">
        <v>3</v>
      </c>
      <c r="D19" s="10">
        <f>AVERAGE(Database!G:G)</f>
        <v>483</v>
      </c>
      <c r="E19" s="19">
        <f t="shared" si="0"/>
        <v>1449</v>
      </c>
      <c r="F19" s="9" t="s">
        <v>442</v>
      </c>
      <c r="H19" s="20" t="s">
        <v>452</v>
      </c>
      <c r="I19" s="23">
        <f>I15-I18</f>
        <v>99999.999999999971</v>
      </c>
      <c r="J19" s="23">
        <f>J15-J18</f>
        <v>100000</v>
      </c>
    </row>
    <row r="20" spans="1:10" x14ac:dyDescent="0.25">
      <c r="A20" s="12">
        <v>45413</v>
      </c>
      <c r="B20" s="9">
        <v>3</v>
      </c>
      <c r="D20" s="10">
        <f>AVERAGE(Database!G:G)</f>
        <v>483</v>
      </c>
      <c r="E20" s="19">
        <f t="shared" si="0"/>
        <v>1449</v>
      </c>
      <c r="F20" s="9" t="s">
        <v>442</v>
      </c>
      <c r="H20" s="20"/>
      <c r="I20" s="25"/>
    </row>
    <row r="21" spans="1:10" x14ac:dyDescent="0.25">
      <c r="A21" s="12">
        <v>45444</v>
      </c>
      <c r="B21" s="9">
        <v>6</v>
      </c>
      <c r="D21" s="10">
        <f>AVERAGE(Database!G:G)</f>
        <v>483</v>
      </c>
      <c r="E21" s="19">
        <f t="shared" si="0"/>
        <v>2898</v>
      </c>
      <c r="F21" s="9" t="s">
        <v>442</v>
      </c>
      <c r="H21" s="20" t="s">
        <v>453</v>
      </c>
      <c r="I21" s="23">
        <f>Assumptions!$D$2</f>
        <v>100000</v>
      </c>
      <c r="J21" s="23">
        <f>Assumptions!$D$2</f>
        <v>100000</v>
      </c>
    </row>
    <row r="22" spans="1:10" x14ac:dyDescent="0.25">
      <c r="A22" s="12">
        <v>45474</v>
      </c>
      <c r="B22" s="9">
        <v>3</v>
      </c>
      <c r="D22" s="10">
        <f>AVERAGE(Database!G:G)</f>
        <v>483</v>
      </c>
      <c r="E22" s="19">
        <f t="shared" si="0"/>
        <v>1449</v>
      </c>
      <c r="F22" s="9" t="s">
        <v>442</v>
      </c>
      <c r="H22" s="20" t="s">
        <v>454</v>
      </c>
      <c r="I22" s="43">
        <v>2499.9999999999995</v>
      </c>
      <c r="J22" s="42">
        <v>483</v>
      </c>
    </row>
    <row r="23" spans="1:10" x14ac:dyDescent="0.25">
      <c r="A23" s="12">
        <v>45505</v>
      </c>
      <c r="B23" s="9">
        <v>7</v>
      </c>
      <c r="D23" s="10">
        <f>AVERAGE(Database!G:G)</f>
        <v>483</v>
      </c>
      <c r="E23" s="19">
        <f t="shared" si="0"/>
        <v>3381</v>
      </c>
      <c r="F23" s="9" t="s">
        <v>442</v>
      </c>
      <c r="H23" s="20" t="s">
        <v>455</v>
      </c>
      <c r="I23" s="27">
        <v>54</v>
      </c>
      <c r="J23" s="44">
        <v>279.50310559006209</v>
      </c>
    </row>
    <row r="24" spans="1:10" x14ac:dyDescent="0.25">
      <c r="A24" s="12">
        <v>45536</v>
      </c>
      <c r="B24" s="9">
        <v>2</v>
      </c>
      <c r="D24" s="10">
        <f>AVERAGE(Database!G:G)</f>
        <v>483</v>
      </c>
      <c r="E24" s="19">
        <f t="shared" si="0"/>
        <v>966</v>
      </c>
      <c r="F24" s="9" t="s">
        <v>442</v>
      </c>
    </row>
    <row r="25" spans="1:10" x14ac:dyDescent="0.25">
      <c r="A25" s="12">
        <v>45566</v>
      </c>
      <c r="B25" s="9">
        <v>6</v>
      </c>
      <c r="D25" s="10">
        <f>AVERAGE(Database!G:G)</f>
        <v>483</v>
      </c>
      <c r="E25" s="19">
        <f t="shared" si="0"/>
        <v>2898</v>
      </c>
      <c r="F25" s="9" t="s">
        <v>442</v>
      </c>
    </row>
    <row r="26" spans="1:10" x14ac:dyDescent="0.25">
      <c r="A26" s="12">
        <v>45597</v>
      </c>
      <c r="B26" s="9">
        <v>2</v>
      </c>
      <c r="D26" s="10">
        <f>AVERAGE(Database!G:G)</f>
        <v>483</v>
      </c>
      <c r="E26" s="19">
        <f t="shared" si="0"/>
        <v>966</v>
      </c>
      <c r="F26" s="9" t="s">
        <v>442</v>
      </c>
    </row>
    <row r="27" spans="1:10" x14ac:dyDescent="0.25">
      <c r="A27" s="12">
        <v>45627</v>
      </c>
      <c r="C27" s="10">
        <f>_xlfn.FORECAST.ETS(A27, $B$2:$B$26, $A$2:$A$26, 1, 1)</f>
        <v>4.2064691284812605</v>
      </c>
      <c r="D27" s="10">
        <f>AVERAGE(Database!G:G)</f>
        <v>483</v>
      </c>
      <c r="E27" s="19">
        <f>C27*D27</f>
        <v>2031.7245890564488</v>
      </c>
      <c r="F27" s="9" t="s">
        <v>444</v>
      </c>
    </row>
    <row r="28" spans="1:10" x14ac:dyDescent="0.25">
      <c r="A28" s="12">
        <v>45658</v>
      </c>
      <c r="C28" s="10">
        <f t="shared" ref="C28:C38" si="3">_xlfn.FORECAST.ETS(A28, $B$2:$B$26, $A$2:$A$26, 1, 1)</f>
        <v>4.2599793684995166</v>
      </c>
      <c r="D28" s="10">
        <f>AVERAGE(Database!G:G)</f>
        <v>483</v>
      </c>
      <c r="E28" s="19">
        <f t="shared" ref="E28:E38" si="4">C28*D28</f>
        <v>2057.5700349852664</v>
      </c>
      <c r="F28" s="9" t="s">
        <v>444</v>
      </c>
    </row>
    <row r="29" spans="1:10" x14ac:dyDescent="0.25">
      <c r="A29" s="12">
        <v>45689</v>
      </c>
      <c r="C29" s="10">
        <f t="shared" si="3"/>
        <v>4.3134896085177843</v>
      </c>
      <c r="D29" s="10">
        <f>AVERAGE(Database!G:G)</f>
        <v>483</v>
      </c>
      <c r="E29" s="19">
        <f t="shared" si="4"/>
        <v>2083.41548091409</v>
      </c>
      <c r="F29" s="9" t="s">
        <v>444</v>
      </c>
    </row>
    <row r="30" spans="1:10" x14ac:dyDescent="0.25">
      <c r="A30" s="12">
        <v>45717</v>
      </c>
      <c r="C30" s="10">
        <f t="shared" si="3"/>
        <v>4.3669998485360404</v>
      </c>
      <c r="D30" s="10">
        <f>AVERAGE(Database!G:G)</f>
        <v>483</v>
      </c>
      <c r="E30" s="19">
        <f t="shared" si="4"/>
        <v>2109.2609268429073</v>
      </c>
      <c r="F30" s="9" t="s">
        <v>444</v>
      </c>
    </row>
    <row r="31" spans="1:10" x14ac:dyDescent="0.25">
      <c r="A31" s="12">
        <v>45748</v>
      </c>
      <c r="C31" s="10">
        <f t="shared" si="3"/>
        <v>4.420510088554308</v>
      </c>
      <c r="D31" s="10">
        <f>AVERAGE(Database!G:G)</f>
        <v>483</v>
      </c>
      <c r="E31" s="19">
        <f t="shared" si="4"/>
        <v>2135.106372771731</v>
      </c>
      <c r="F31" s="9" t="s">
        <v>444</v>
      </c>
    </row>
    <row r="32" spans="1:10" x14ac:dyDescent="0.25">
      <c r="A32" s="12">
        <v>45778</v>
      </c>
      <c r="C32" s="10">
        <f t="shared" si="3"/>
        <v>4.4740203285725642</v>
      </c>
      <c r="D32" s="10">
        <f>AVERAGE(Database!G:G)</f>
        <v>483</v>
      </c>
      <c r="E32" s="19">
        <f t="shared" si="4"/>
        <v>2160.9518187005483</v>
      </c>
      <c r="F32" s="9" t="s">
        <v>444</v>
      </c>
    </row>
    <row r="33" spans="1:6" x14ac:dyDescent="0.25">
      <c r="A33" s="12">
        <v>45809</v>
      </c>
      <c r="C33" s="10">
        <f t="shared" si="3"/>
        <v>4.5275305685908318</v>
      </c>
      <c r="D33" s="10">
        <f>AVERAGE(Database!G:G)</f>
        <v>483</v>
      </c>
      <c r="E33" s="19">
        <f t="shared" si="4"/>
        <v>2186.797264629372</v>
      </c>
      <c r="F33" s="9" t="s">
        <v>444</v>
      </c>
    </row>
    <row r="34" spans="1:6" x14ac:dyDescent="0.25">
      <c r="A34" s="12">
        <v>45839</v>
      </c>
      <c r="C34" s="10">
        <f t="shared" si="3"/>
        <v>4.5810408086090879</v>
      </c>
      <c r="D34" s="10">
        <f>AVERAGE(Database!G:G)</f>
        <v>483</v>
      </c>
      <c r="E34" s="19">
        <f t="shared" si="4"/>
        <v>2212.6427105581893</v>
      </c>
      <c r="F34" s="9" t="s">
        <v>444</v>
      </c>
    </row>
    <row r="35" spans="1:6" x14ac:dyDescent="0.25">
      <c r="A35" s="12">
        <v>45870</v>
      </c>
      <c r="C35" s="10">
        <f t="shared" si="3"/>
        <v>4.6345510486273556</v>
      </c>
      <c r="D35" s="10">
        <f>AVERAGE(Database!G:G)</f>
        <v>483</v>
      </c>
      <c r="E35" s="19">
        <f t="shared" si="4"/>
        <v>2238.4881564870129</v>
      </c>
      <c r="F35" s="9" t="s">
        <v>444</v>
      </c>
    </row>
    <row r="36" spans="1:6" x14ac:dyDescent="0.25">
      <c r="A36" s="12">
        <v>45901</v>
      </c>
      <c r="C36" s="10">
        <f t="shared" si="3"/>
        <v>4.6880612886456117</v>
      </c>
      <c r="D36" s="10">
        <f>AVERAGE(Database!G:G)</f>
        <v>483</v>
      </c>
      <c r="E36" s="19">
        <f t="shared" si="4"/>
        <v>2264.3336024158302</v>
      </c>
      <c r="F36" s="9" t="s">
        <v>444</v>
      </c>
    </row>
    <row r="37" spans="1:6" x14ac:dyDescent="0.25">
      <c r="A37" s="12">
        <v>45931</v>
      </c>
      <c r="C37" s="10">
        <f t="shared" si="3"/>
        <v>4.7415715286638793</v>
      </c>
      <c r="D37" s="10">
        <f>AVERAGE(Database!G:G)</f>
        <v>483</v>
      </c>
      <c r="E37" s="19">
        <f t="shared" si="4"/>
        <v>2290.1790483446539</v>
      </c>
      <c r="F37" s="9" t="s">
        <v>444</v>
      </c>
    </row>
    <row r="38" spans="1:6" x14ac:dyDescent="0.25">
      <c r="A38" s="12">
        <v>45962</v>
      </c>
      <c r="C38" s="10">
        <f t="shared" si="3"/>
        <v>4.7950817686821354</v>
      </c>
      <c r="D38" s="10">
        <f>AVERAGE(Database!G:G)</f>
        <v>483</v>
      </c>
      <c r="E38" s="19">
        <f t="shared" si="4"/>
        <v>2316.0244942734712</v>
      </c>
      <c r="F38" s="9" t="s">
        <v>444</v>
      </c>
    </row>
    <row r="39" spans="1:6" x14ac:dyDescent="0.25">
      <c r="A39" s="15" t="s">
        <v>447</v>
      </c>
      <c r="B39" s="16">
        <f>SUM(B2:B38)</f>
        <v>100</v>
      </c>
      <c r="C39" s="17">
        <f>SUM(C2:C38)</f>
        <v>54.009305382980386</v>
      </c>
      <c r="D39" s="16"/>
      <c r="E39" s="18">
        <f>SUM(E2:E38)</f>
        <v>74386.494499979526</v>
      </c>
      <c r="F39" s="16"/>
    </row>
    <row r="40" spans="1:6" x14ac:dyDescent="0.25">
      <c r="A40" s="13"/>
    </row>
    <row r="41" spans="1:6" x14ac:dyDescent="0.25">
      <c r="A41" s="13"/>
    </row>
    <row r="42" spans="1:6" x14ac:dyDescent="0.25">
      <c r="A42" s="13"/>
    </row>
    <row r="43" spans="1:6" x14ac:dyDescent="0.25">
      <c r="A43" s="13"/>
    </row>
    <row r="44" spans="1:6" x14ac:dyDescent="0.25">
      <c r="A44" s="13"/>
    </row>
    <row r="45" spans="1:6" x14ac:dyDescent="0.25">
      <c r="A45" s="13"/>
    </row>
    <row r="46" spans="1:6" x14ac:dyDescent="0.25">
      <c r="A46" s="13"/>
    </row>
    <row r="47" spans="1:6" ht="6.75" customHeight="1" x14ac:dyDescent="0.25">
      <c r="A47" s="13"/>
    </row>
    <row r="48" spans="1:6" x14ac:dyDescent="0.25">
      <c r="A48" s="13"/>
    </row>
    <row r="49" spans="1:1" x14ac:dyDescent="0.25">
      <c r="A49" s="13"/>
    </row>
    <row r="50" spans="1:1" x14ac:dyDescent="0.25">
      <c r="A50" s="13"/>
    </row>
    <row r="51" spans="1:1" x14ac:dyDescent="0.25">
      <c r="A51" s="13"/>
    </row>
    <row r="52" spans="1:1" x14ac:dyDescent="0.25">
      <c r="A52" s="13"/>
    </row>
    <row r="53" spans="1:1" x14ac:dyDescent="0.25">
      <c r="A53" s="13"/>
    </row>
    <row r="54" spans="1:1" x14ac:dyDescent="0.25">
      <c r="A54" s="13"/>
    </row>
    <row r="55" spans="1:1" x14ac:dyDescent="0.25">
      <c r="A55" s="13"/>
    </row>
    <row r="56" spans="1:1" x14ac:dyDescent="0.25">
      <c r="A56" s="13"/>
    </row>
    <row r="57" spans="1:1" x14ac:dyDescent="0.25">
      <c r="A57" s="13"/>
    </row>
    <row r="58" spans="1:1" x14ac:dyDescent="0.25">
      <c r="A58" s="13"/>
    </row>
    <row r="59" spans="1:1" x14ac:dyDescent="0.25">
      <c r="A59" s="13"/>
    </row>
    <row r="60" spans="1:1" x14ac:dyDescent="0.25">
      <c r="A60" s="13"/>
    </row>
    <row r="61" spans="1:1" x14ac:dyDescent="0.25">
      <c r="A61" s="13"/>
    </row>
    <row r="62" spans="1:1" x14ac:dyDescent="0.25">
      <c r="A62" s="13"/>
    </row>
    <row r="63" spans="1:1" x14ac:dyDescent="0.25">
      <c r="A63" s="13"/>
    </row>
    <row r="64" spans="1:1" x14ac:dyDescent="0.25">
      <c r="A64" s="13"/>
    </row>
    <row r="65" spans="1:1" x14ac:dyDescent="0.25">
      <c r="A65" s="13"/>
    </row>
    <row r="66" spans="1:1" x14ac:dyDescent="0.25">
      <c r="A66" s="13"/>
    </row>
    <row r="67" spans="1:1" x14ac:dyDescent="0.25">
      <c r="A67" s="13"/>
    </row>
    <row r="68" spans="1:1" x14ac:dyDescent="0.25">
      <c r="A68" s="13"/>
    </row>
    <row r="69" spans="1:1" x14ac:dyDescent="0.25">
      <c r="A69" s="13"/>
    </row>
    <row r="70" spans="1:1" x14ac:dyDescent="0.25">
      <c r="A70" s="13"/>
    </row>
    <row r="71" spans="1:1" x14ac:dyDescent="0.25">
      <c r="A71" s="13"/>
    </row>
    <row r="72" spans="1:1" x14ac:dyDescent="0.25">
      <c r="A72" s="13"/>
    </row>
    <row r="73" spans="1:1" x14ac:dyDescent="0.25">
      <c r="A73" s="13"/>
    </row>
    <row r="74" spans="1:1" x14ac:dyDescent="0.25">
      <c r="A74" s="13"/>
    </row>
    <row r="75" spans="1:1" x14ac:dyDescent="0.25">
      <c r="A75" s="13"/>
    </row>
    <row r="76" spans="1:1" x14ac:dyDescent="0.25">
      <c r="A76" s="13"/>
    </row>
    <row r="77" spans="1:1" x14ac:dyDescent="0.25">
      <c r="A77" s="13"/>
    </row>
    <row r="78" spans="1:1" x14ac:dyDescent="0.25">
      <c r="A78" s="13"/>
    </row>
    <row r="79" spans="1:1" x14ac:dyDescent="0.25">
      <c r="A79" s="13"/>
    </row>
    <row r="80" spans="1:1" x14ac:dyDescent="0.25">
      <c r="A80" s="13"/>
    </row>
    <row r="81" spans="1:1" x14ac:dyDescent="0.25">
      <c r="A81" s="13"/>
    </row>
    <row r="82" spans="1:1" x14ac:dyDescent="0.25">
      <c r="A82" s="13"/>
    </row>
    <row r="83" spans="1:1" x14ac:dyDescent="0.25">
      <c r="A83" s="13"/>
    </row>
    <row r="84" spans="1:1" x14ac:dyDescent="0.25">
      <c r="A84" s="13"/>
    </row>
    <row r="85" spans="1:1" x14ac:dyDescent="0.25">
      <c r="A85" s="13"/>
    </row>
    <row r="86" spans="1:1" x14ac:dyDescent="0.25">
      <c r="A86" s="13"/>
    </row>
    <row r="87" spans="1:1" x14ac:dyDescent="0.25">
      <c r="A87" s="13"/>
    </row>
    <row r="88" spans="1:1" x14ac:dyDescent="0.25">
      <c r="A88" s="13"/>
    </row>
    <row r="89" spans="1:1" x14ac:dyDescent="0.25">
      <c r="A89" s="13"/>
    </row>
    <row r="90" spans="1:1" x14ac:dyDescent="0.25">
      <c r="A90" s="13"/>
    </row>
    <row r="91" spans="1:1" x14ac:dyDescent="0.25">
      <c r="A91" s="13"/>
    </row>
    <row r="92" spans="1:1" x14ac:dyDescent="0.25">
      <c r="A92" s="13"/>
    </row>
    <row r="93" spans="1:1" x14ac:dyDescent="0.25">
      <c r="A93" s="13"/>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6A87E-53BE-434A-9493-DC78C6B7D12C}">
  <sheetPr codeName="Sheet6"/>
  <dimension ref="A3:B52"/>
  <sheetViews>
    <sheetView zoomScale="85" zoomScaleNormal="85" workbookViewId="0">
      <selection activeCell="A3" sqref="A3:B3"/>
    </sheetView>
  </sheetViews>
  <sheetFormatPr defaultRowHeight="15" x14ac:dyDescent="0.25"/>
  <cols>
    <col min="1" max="1" width="30.42578125" customWidth="1"/>
    <col min="2" max="2" width="18.28515625" customWidth="1"/>
  </cols>
  <sheetData>
    <row r="3" spans="1:2" ht="16.5" x14ac:dyDescent="0.3">
      <c r="A3" s="49" t="s">
        <v>459</v>
      </c>
      <c r="B3" s="49"/>
    </row>
    <row r="4" spans="1:2" ht="16.5" x14ac:dyDescent="0.3">
      <c r="A4" s="33" t="s">
        <v>464</v>
      </c>
      <c r="B4" s="20"/>
    </row>
    <row r="5" spans="1:2" ht="16.5" x14ac:dyDescent="0.25">
      <c r="A5" s="34" t="s">
        <v>460</v>
      </c>
      <c r="B5" s="35">
        <f>COUNTA(Database!G:G)-1</f>
        <v>100</v>
      </c>
    </row>
    <row r="6" spans="1:2" ht="16.5" x14ac:dyDescent="0.25">
      <c r="A6" s="36" t="s">
        <v>461</v>
      </c>
      <c r="B6" s="37">
        <f>SUM(Database!G:G)</f>
        <v>48300</v>
      </c>
    </row>
    <row r="7" spans="1:2" ht="16.5" x14ac:dyDescent="0.25">
      <c r="A7" s="36" t="s">
        <v>462</v>
      </c>
      <c r="B7" s="37">
        <f>AVERAGE(Database!G:G)</f>
        <v>483</v>
      </c>
    </row>
    <row r="8" spans="1:2" ht="16.5" x14ac:dyDescent="0.3">
      <c r="A8" s="38" t="s">
        <v>463</v>
      </c>
      <c r="B8" s="39">
        <f>B6 - (Assumptions!C4 + Assumptions!C6)</f>
        <v>35000</v>
      </c>
    </row>
    <row r="52" spans="1:1" x14ac:dyDescent="0.25">
      <c r="A52" t="s">
        <v>482</v>
      </c>
    </row>
  </sheetData>
  <mergeCells count="1">
    <mergeCell ref="A3:B3"/>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DB2D5-42A8-480C-B8FA-5D575B1BF823}">
  <sheetPr codeName="Sheet8"/>
  <dimension ref="A2:I53"/>
  <sheetViews>
    <sheetView zoomScaleNormal="100" workbookViewId="0">
      <selection activeCell="H15" sqref="H15"/>
    </sheetView>
  </sheetViews>
  <sheetFormatPr defaultRowHeight="15" x14ac:dyDescent="0.25"/>
  <cols>
    <col min="1" max="1" width="22.7109375" customWidth="1"/>
    <col min="2" max="2" width="15.5703125" customWidth="1"/>
    <col min="3" max="3" width="6.42578125" customWidth="1"/>
    <col min="4" max="4" width="19.85546875" customWidth="1"/>
    <col min="5" max="5" width="20.5703125" customWidth="1"/>
    <col min="6" max="6" width="6.85546875" customWidth="1"/>
    <col min="7" max="7" width="16.7109375" customWidth="1"/>
    <col min="8" max="8" width="19.42578125" customWidth="1"/>
  </cols>
  <sheetData>
    <row r="2" spans="1:9" ht="16.5" x14ac:dyDescent="0.3">
      <c r="A2" s="49" t="s">
        <v>471</v>
      </c>
      <c r="B2" s="49"/>
      <c r="C2" s="49"/>
      <c r="D2" s="49"/>
      <c r="E2" s="49"/>
      <c r="F2" s="49"/>
      <c r="G2" s="49"/>
      <c r="H2" s="49"/>
    </row>
    <row r="3" spans="1:9" ht="16.5" x14ac:dyDescent="0.3">
      <c r="A3" s="49" t="s">
        <v>472</v>
      </c>
      <c r="B3" s="49"/>
      <c r="C3" s="49"/>
      <c r="D3" s="49"/>
      <c r="E3" s="49"/>
      <c r="F3" s="49"/>
      <c r="G3" s="49"/>
      <c r="H3" s="49"/>
      <c r="I3" s="49"/>
    </row>
    <row r="4" spans="1:9" ht="16.5" x14ac:dyDescent="0.3">
      <c r="A4" s="32"/>
      <c r="B4" s="32"/>
      <c r="C4" s="32"/>
      <c r="D4" s="32"/>
      <c r="E4" s="32"/>
      <c r="F4" s="32"/>
      <c r="G4" s="32"/>
      <c r="H4" s="32"/>
      <c r="I4" s="32"/>
    </row>
    <row r="5" spans="1:9" ht="16.5" x14ac:dyDescent="0.3">
      <c r="A5" s="38" t="s">
        <v>464</v>
      </c>
      <c r="B5" s="45"/>
      <c r="D5" s="38" t="s">
        <v>473</v>
      </c>
      <c r="E5" s="38"/>
      <c r="G5" s="38" t="s">
        <v>476</v>
      </c>
      <c r="H5" s="45"/>
    </row>
    <row r="6" spans="1:9" ht="18" customHeight="1" x14ac:dyDescent="0.25">
      <c r="A6" s="34" t="s">
        <v>460</v>
      </c>
      <c r="B6" s="35">
        <f>COUNTA(Database!G:G)-1</f>
        <v>100</v>
      </c>
      <c r="D6" s="34" t="s">
        <v>474</v>
      </c>
      <c r="E6" s="37">
        <f>Assumptions!D4</f>
        <v>10000</v>
      </c>
      <c r="G6" s="34" t="s">
        <v>477</v>
      </c>
      <c r="H6" s="50" t="s">
        <v>478</v>
      </c>
    </row>
    <row r="7" spans="1:9" ht="18" customHeight="1" x14ac:dyDescent="0.25">
      <c r="A7" s="36" t="s">
        <v>461</v>
      </c>
      <c r="B7" s="37">
        <f>SUM(Database!G:G)</f>
        <v>48300</v>
      </c>
      <c r="D7" s="36" t="s">
        <v>475</v>
      </c>
      <c r="E7" s="37">
        <f>Assumptions!D6</f>
        <v>25000</v>
      </c>
      <c r="G7" s="36" t="s">
        <v>479</v>
      </c>
      <c r="H7" s="51">
        <f>Projections!I22</f>
        <v>2499.9999999999995</v>
      </c>
    </row>
    <row r="8" spans="1:9" ht="21" customHeight="1" x14ac:dyDescent="0.25">
      <c r="A8" s="52" t="s">
        <v>462</v>
      </c>
      <c r="B8" s="37">
        <f>AVERAGE(Database!G:G)</f>
        <v>483</v>
      </c>
      <c r="D8" s="36" t="s">
        <v>451</v>
      </c>
      <c r="E8" s="37">
        <f>+E6+E7</f>
        <v>35000</v>
      </c>
      <c r="G8" s="36" t="s">
        <v>480</v>
      </c>
      <c r="H8" s="53">
        <f>Projections!I23</f>
        <v>54</v>
      </c>
    </row>
    <row r="9" spans="1:9" ht="16.5" x14ac:dyDescent="0.3">
      <c r="A9" s="38" t="s">
        <v>463</v>
      </c>
      <c r="B9" s="39">
        <f>B7 - (Assumptions!C4 + Assumptions!C6)</f>
        <v>35000</v>
      </c>
      <c r="D9" s="38" t="s">
        <v>453</v>
      </c>
      <c r="E9" s="39">
        <f>Assumptions!D2</f>
        <v>100000</v>
      </c>
      <c r="G9" s="38" t="s">
        <v>452</v>
      </c>
      <c r="H9" s="39">
        <f>Projections!I21</f>
        <v>100000</v>
      </c>
    </row>
    <row r="11" spans="1:9" ht="16.5" x14ac:dyDescent="0.3">
      <c r="G11" s="33" t="s">
        <v>483</v>
      </c>
      <c r="H11" s="48" t="s">
        <v>481</v>
      </c>
    </row>
    <row r="12" spans="1:9" ht="16.5" x14ac:dyDescent="0.25">
      <c r="G12" s="34" t="s">
        <v>479</v>
      </c>
      <c r="H12" s="37">
        <f>Projections!J22</f>
        <v>483</v>
      </c>
    </row>
    <row r="13" spans="1:9" ht="13.5" customHeight="1" x14ac:dyDescent="0.25">
      <c r="G13" s="36" t="s">
        <v>480</v>
      </c>
      <c r="H13" s="54">
        <f>Projections!J23</f>
        <v>279.50310559006209</v>
      </c>
    </row>
    <row r="14" spans="1:9" ht="16.5" x14ac:dyDescent="0.25">
      <c r="G14" s="46" t="s">
        <v>452</v>
      </c>
      <c r="H14" s="47">
        <f>Projections!J21</f>
        <v>100000</v>
      </c>
    </row>
    <row r="53" spans="1:1" x14ac:dyDescent="0.25">
      <c r="A53" t="s">
        <v>466</v>
      </c>
    </row>
  </sheetData>
  <mergeCells count="2">
    <mergeCell ref="A2:H2"/>
    <mergeCell ref="A3:I3"/>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5AB59E4431591449510D8BC3FFBF7A0" ma:contentTypeVersion="12" ma:contentTypeDescription="Create a new document." ma:contentTypeScope="" ma:versionID="36c529c06948a749f7388bbfb6a11474">
  <xsd:schema xmlns:xsd="http://www.w3.org/2001/XMLSchema" xmlns:xs="http://www.w3.org/2001/XMLSchema" xmlns:p="http://schemas.microsoft.com/office/2006/metadata/properties" xmlns:ns3="4b2b23ea-5cf1-4524-a91c-b71f97d99453" targetNamespace="http://schemas.microsoft.com/office/2006/metadata/properties" ma:root="true" ma:fieldsID="3fee6670bfce804b31850b4e1fdfad33" ns3:_="">
    <xsd:import namespace="4b2b23ea-5cf1-4524-a91c-b71f97d9945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GenerationTime" minOccurs="0"/>
                <xsd:element ref="ns3:MediaServiceEventHashCode" minOccurs="0"/>
                <xsd:element ref="ns3:MediaLengthInSeconds" minOccurs="0"/>
                <xsd:element ref="ns3:MediaServiceOCR"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b23ea-5cf1-4524-a91c-b71f97d9945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4b2b23ea-5cf1-4524-a91c-b71f97d99453" xsi:nil="true"/>
  </documentManagement>
</p:properties>
</file>

<file path=customXml/itemProps1.xml><?xml version="1.0" encoding="utf-8"?>
<ds:datastoreItem xmlns:ds="http://schemas.openxmlformats.org/officeDocument/2006/customXml" ds:itemID="{48365D5D-A5B5-425A-8B07-3A8863E5568F}">
  <ds:schemaRefs>
    <ds:schemaRef ds:uri="http://schemas.microsoft.com/sharepoint/v3/contenttype/forms"/>
  </ds:schemaRefs>
</ds:datastoreItem>
</file>

<file path=customXml/itemProps2.xml><?xml version="1.0" encoding="utf-8"?>
<ds:datastoreItem xmlns:ds="http://schemas.openxmlformats.org/officeDocument/2006/customXml" ds:itemID="{ABBB5B2E-4117-4AD6-B175-333D1279E1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b23ea-5cf1-4524-a91c-b71f97d994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93D948-CB06-4DEE-937F-1778AA4B5B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4b2b23ea-5cf1-4524-a91c-b71f97d9945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Database</vt:lpstr>
      <vt:lpstr>Assumptions</vt:lpstr>
      <vt:lpstr>Monthly Summary</vt:lpstr>
      <vt:lpstr>Sheet1</vt:lpstr>
      <vt:lpstr>Projections</vt:lpstr>
      <vt:lpstr>Event Dashboard</vt:lpstr>
      <vt:lpstr>Updated Event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Dilen</dc:creator>
  <cp:lastModifiedBy>James Stephen Lagman Marin</cp:lastModifiedBy>
  <dcterms:created xsi:type="dcterms:W3CDTF">2024-11-19T21:28:04Z</dcterms:created>
  <dcterms:modified xsi:type="dcterms:W3CDTF">2026-03-01T06:58:34Z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0x010100A5AB59E4431591449510D8BC3FFBF7A0</vt:lpwstr>
  </property>
</Properties>
</file>